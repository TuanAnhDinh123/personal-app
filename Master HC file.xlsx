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pham\Downloads\"/>
    </mc:Choice>
  </mc:AlternateContent>
  <xr:revisionPtr revIDLastSave="0" documentId="8_{7D622A22-0A92-4BE6-93D4-EFCDE7ABC094}" xr6:coauthVersionLast="47" xr6:coauthVersionMax="47" xr10:uidLastSave="{00000000-0000-0000-0000-000000000000}"/>
  <bookViews>
    <workbookView xWindow="-110" yWindow="-110" windowWidth="19420" windowHeight="11500" activeTab="1" xr2:uid="{CB862163-CEAC-4DFC-885D-C2475C0EE9EA}"/>
  </bookViews>
  <sheets>
    <sheet name="Training list" sheetId="2" r:id="rId1"/>
    <sheet name="Master file" sheetId="1" r:id="rId2"/>
  </sheets>
  <definedNames>
    <definedName name="_xlnm._FilterDatabase" localSheetId="0" hidden="1">'Training list'!$A$15:$F$62</definedName>
    <definedName name="_xlnm.Print_Area" localSheetId="0">'Training list'!$A$1:$F$62</definedName>
    <definedName name="_xlnm.Print_Titles" localSheetId="0">'Training list'!$15:$15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4" i="2" l="1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CU2" i="1" l="1"/>
  <c r="CQ2" i="1"/>
  <c r="CP2" i="1"/>
  <c r="CB2" i="1"/>
  <c r="CC2" i="1" s="1"/>
  <c r="BY2" i="1"/>
  <c r="BW2" i="1"/>
  <c r="CD2" i="1" s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Dang, Lan</author>
    <author>PSC</author>
    <author>Huynh, Diem</author>
  </authors>
  <commentList>
    <comment ref="R1" authorId="0" shapeId="0" xr:uid="{593B7806-5112-4D32-BCA6-65EF1BD20739}">
      <text>
        <r>
          <rPr>
            <b/>
            <sz val="9"/>
            <color indexed="81"/>
            <rFont val="Tahoma"/>
            <family val="2"/>
          </rPr>
          <t>Dang, Lan:</t>
        </r>
        <r>
          <rPr>
            <sz val="9"/>
            <color indexed="81"/>
            <rFont val="Tahoma"/>
            <family val="2"/>
          </rPr>
          <t xml:space="preserve">
Effective from 01-Jan-17</t>
        </r>
      </text>
    </comment>
    <comment ref="BI1" authorId="1" shapeId="0" xr:uid="{81B18E91-BC6F-411F-88FB-0F87469F5B85}">
      <text>
        <r>
          <rPr>
            <b/>
            <sz val="8"/>
            <color indexed="81"/>
            <rFont val="Tahoma"/>
            <family val="2"/>
          </rPr>
          <t>PSC:</t>
        </r>
        <r>
          <rPr>
            <sz val="8"/>
            <color indexed="81"/>
            <rFont val="Tahoma"/>
            <family val="2"/>
          </rPr>
          <t xml:space="preserve">
issue ID card</t>
        </r>
      </text>
    </comment>
    <comment ref="CE1" authorId="2" shapeId="0" xr:uid="{44998A97-FAB7-4595-96D2-692282F8FF5A}">
      <text>
        <r>
          <rPr>
            <b/>
            <sz val="9"/>
            <color indexed="81"/>
            <rFont val="Tahoma"/>
            <family val="2"/>
          </rPr>
          <t>Report to Bác (19/8/2021)
(Corporate_Corporate: IT, HR, FIN. Còn lại là Corporate_operations</t>
        </r>
      </text>
    </comment>
  </commentList>
</comments>
</file>

<file path=xl/sharedStrings.xml><?xml version="1.0" encoding="utf-8"?>
<sst xmlns="http://schemas.openxmlformats.org/spreadsheetml/2006/main" count="263" uniqueCount="227">
  <si>
    <t xml:space="preserve">  Legal Entity (Company)</t>
  </si>
  <si>
    <t>EC</t>
  </si>
  <si>
    <t>GlobalEmpCode</t>
  </si>
  <si>
    <t>Surname</t>
  </si>
  <si>
    <t>Name</t>
  </si>
  <si>
    <t>Middle Name 
(only for vietnam)</t>
  </si>
  <si>
    <t>Date of Birth</t>
  </si>
  <si>
    <t>Gender</t>
  </si>
  <si>
    <t xml:space="preserve">Education Level </t>
  </si>
  <si>
    <t>Street (address)</t>
  </si>
  <si>
    <t>City (address)</t>
  </si>
  <si>
    <t>Country (address)</t>
  </si>
  <si>
    <t>Phone Number</t>
  </si>
  <si>
    <t>Function (Common)</t>
  </si>
  <si>
    <t>New Cost center</t>
  </si>
  <si>
    <t>Business Unit (Department)</t>
  </si>
  <si>
    <t>Date of Employment</t>
  </si>
  <si>
    <t>Job Title (Description)</t>
  </si>
  <si>
    <t>Country of facility</t>
  </si>
  <si>
    <t>Town of facility</t>
  </si>
  <si>
    <t>Permanent/Temporary contract</t>
  </si>
  <si>
    <t>Full Time/ Part Time</t>
  </si>
  <si>
    <t>% working time</t>
  </si>
  <si>
    <t>Direct/Indirect</t>
  </si>
  <si>
    <t>Termination Date</t>
  </si>
  <si>
    <t>Major</t>
  </si>
  <si>
    <t>Year of graduated</t>
  </si>
  <si>
    <t>School name</t>
  </si>
  <si>
    <t>Place of birth</t>
  </si>
  <si>
    <t>ID no.</t>
  </si>
  <si>
    <t>Issued date</t>
  </si>
  <si>
    <t>Issued Place</t>
  </si>
  <si>
    <t>Native country</t>
  </si>
  <si>
    <t>Bank account no.</t>
  </si>
  <si>
    <t>Bank address</t>
  </si>
  <si>
    <t>Personal 
Tax Code</t>
  </si>
  <si>
    <t>Dependance</t>
  </si>
  <si>
    <t>Insurance
 Book No.</t>
  </si>
  <si>
    <t>Passport
No.</t>
  </si>
  <si>
    <t>Emergency Contact Name</t>
  </si>
  <si>
    <t>Relationship</t>
  </si>
  <si>
    <t>Personal Email address</t>
  </si>
  <si>
    <t>Địa chỉ thường trú</t>
  </si>
  <si>
    <t>Địa chỉ tạm trú</t>
  </si>
  <si>
    <t>Marriage status  (Yes)</t>
  </si>
  <si>
    <t>Number of children</t>
  </si>
  <si>
    <t>Children's name</t>
  </si>
  <si>
    <t>Children's birthday</t>
  </si>
  <si>
    <t>Religion</t>
  </si>
  <si>
    <t>Qualification</t>
  </si>
  <si>
    <t>Qualification code</t>
  </si>
  <si>
    <t>Job level</t>
  </si>
  <si>
    <t>Level</t>
  </si>
  <si>
    <t>Operator skill</t>
  </si>
  <si>
    <t>Job Title with level (no use)</t>
  </si>
  <si>
    <t>Driving forklift</t>
  </si>
  <si>
    <t>Working hour/week</t>
  </si>
  <si>
    <t>Production
Line (Internal)</t>
  </si>
  <si>
    <t>#ER/ JRF</t>
  </si>
  <si>
    <t>Company email</t>
  </si>
  <si>
    <t>Type of contract</t>
  </si>
  <si>
    <t>Starting date of contract</t>
  </si>
  <si>
    <t>Ending date of contract</t>
  </si>
  <si>
    <t>Position status</t>
  </si>
  <si>
    <t>Changing date</t>
  </si>
  <si>
    <t>Marital Status </t>
  </si>
  <si>
    <t>Spouse Name</t>
  </si>
  <si>
    <t>Spouse date</t>
  </si>
  <si>
    <t>Nationality</t>
  </si>
  <si>
    <t>Year of service</t>
  </si>
  <si>
    <t>Trình độ theo lĩnh vực</t>
  </si>
  <si>
    <t>Year of birthday (year)</t>
  </si>
  <si>
    <t>BC/WC</t>
  </si>
  <si>
    <t>IBC/DBC/WC</t>
  </si>
  <si>
    <t>Age</t>
  </si>
  <si>
    <t>Age range</t>
  </si>
  <si>
    <t>Length of service</t>
  </si>
  <si>
    <t>Function (for local only)</t>
  </si>
  <si>
    <t>BY GROUP</t>
  </si>
  <si>
    <t>Type of labor</t>
  </si>
  <si>
    <t>Eligible -Smart Working Policy Eligible</t>
  </si>
  <si>
    <t xml:space="preserve">Changing notes
</t>
  </si>
  <si>
    <t xml:space="preserve">Changing date
</t>
  </si>
  <si>
    <t>Updated changing date</t>
  </si>
  <si>
    <t>Note</t>
  </si>
  <si>
    <t>Cột tính thâm niên</t>
  </si>
  <si>
    <t>Time in Position</t>
  </si>
  <si>
    <t xml:space="preserve">Current Position </t>
  </si>
  <si>
    <t>Birthday</t>
  </si>
  <si>
    <t>(Old) Phone Number</t>
  </si>
  <si>
    <t>Datalogic Vietnam LLC</t>
  </si>
  <si>
    <t>00000607</t>
  </si>
  <si>
    <t>M</t>
  </si>
  <si>
    <t>Bachelor's Degree</t>
  </si>
  <si>
    <t>361/13 Binh Dong, ward 15, District 8, HCMC</t>
  </si>
  <si>
    <t>Ho Chi Minh</t>
  </si>
  <si>
    <t>Vietnam</t>
  </si>
  <si>
    <t>0913889910, 0838523197</t>
  </si>
  <si>
    <t>Văn</t>
  </si>
  <si>
    <t>FC</t>
  </si>
  <si>
    <t>VN1012</t>
  </si>
  <si>
    <t>Facilities Control</t>
  </si>
  <si>
    <t>FC and Production Manager</t>
  </si>
  <si>
    <t xml:space="preserve">Ho Chi Minh </t>
  </si>
  <si>
    <t>Permanent</t>
  </si>
  <si>
    <t>FT</t>
  </si>
  <si>
    <t>100</t>
  </si>
  <si>
    <t>Indirect</t>
  </si>
  <si>
    <t>Cơ khí
KTĐiện-Điện tử
QLCN</t>
  </si>
  <si>
    <t>10/2006
11/2003
09/1993</t>
  </si>
  <si>
    <t>ĐHBK</t>
  </si>
  <si>
    <t>TP. HCM</t>
  </si>
  <si>
    <t>079070029974</t>
  </si>
  <si>
    <t>CCS</t>
  </si>
  <si>
    <t>Hải Dương</t>
  </si>
  <si>
    <t>0071002657063</t>
  </si>
  <si>
    <t>VIETCOMBANK - HCM BRANCH</t>
  </si>
  <si>
    <t>3700440611</t>
  </si>
  <si>
    <t>9198004488</t>
  </si>
  <si>
    <t>/</t>
  </si>
  <si>
    <t>Ms.Nguyễn Thị Minh Nguyệt
0903 991 962/08-38523197</t>
  </si>
  <si>
    <t>Wife</t>
  </si>
  <si>
    <t>nguyenchu1970@gmail.com</t>
  </si>
  <si>
    <t>361/13 Bình Đông, phường 15, quận 8, TP. HCM</t>
  </si>
  <si>
    <t>Y</t>
  </si>
  <si>
    <t>Chu Nguyễn Anh Khoa
Chu Nguyễn Cao Trí</t>
  </si>
  <si>
    <t>2000
2008</t>
  </si>
  <si>
    <t>Catholicism</t>
  </si>
  <si>
    <t>University</t>
  </si>
  <si>
    <t>Manager</t>
  </si>
  <si>
    <t>-</t>
  </si>
  <si>
    <t>Facilities  Manager
Production Manager</t>
  </si>
  <si>
    <t>Office</t>
  </si>
  <si>
    <t>Indefinite</t>
  </si>
  <si>
    <t>Active</t>
  </si>
  <si>
    <t>Married</t>
  </si>
  <si>
    <t>Vietnamese</t>
  </si>
  <si>
    <t>Kỹ thuật và công nghệ</t>
  </si>
  <si>
    <t>White Collar</t>
  </si>
  <si>
    <t>WC</t>
  </si>
  <si>
    <t>VN Plant</t>
  </si>
  <si>
    <t>Regular</t>
  </si>
  <si>
    <t>No</t>
  </si>
  <si>
    <t>Bank account,
Supervisor
Cập nhật CCCD 4Nov2024</t>
  </si>
  <si>
    <t>25-03-2019
28-06-19</t>
  </si>
  <si>
    <t>Cập nhật CCCD 4Nov2024</t>
  </si>
  <si>
    <t>0913 889 910/08-3852 3197</t>
  </si>
  <si>
    <t>STT</t>
  </si>
  <si>
    <t>Full name</t>
  </si>
  <si>
    <t>Full name of manager</t>
  </si>
  <si>
    <t>Reason for leaving</t>
  </si>
  <si>
    <t>Nguyen Van A</t>
  </si>
  <si>
    <t>Nguyen</t>
  </si>
  <si>
    <t>A</t>
  </si>
  <si>
    <t>nhan.pham@datalogic.com</t>
  </si>
  <si>
    <t>GM0240 Rev.0</t>
  </si>
  <si>
    <t>Course Title: Tái đào tạo An toàn lao động</t>
  </si>
  <si>
    <t xml:space="preserve">Content: 
</t>
  </si>
  <si>
    <t xml:space="preserve">Location:
</t>
  </si>
  <si>
    <t>HCMC</t>
  </si>
  <si>
    <t xml:space="preserve">- Tái đào tạo An toàn lao động HSE (Nhóm 4)
</t>
  </si>
  <si>
    <t>Date:</t>
  </si>
  <si>
    <t>23rd Jul 2026</t>
  </si>
  <si>
    <t>Training Type:</t>
  </si>
  <si>
    <t>In house [ X ]</t>
  </si>
  <si>
    <t>External [   ]</t>
  </si>
  <si>
    <t>Funded [   ]</t>
  </si>
  <si>
    <t xml:space="preserve">Trainer </t>
  </si>
  <si>
    <t>Company</t>
  </si>
  <si>
    <t>Signature</t>
  </si>
  <si>
    <t>External</t>
  </si>
  <si>
    <t>Participants</t>
  </si>
  <si>
    <t>No.</t>
  </si>
  <si>
    <t>PERSON ID</t>
  </si>
  <si>
    <t>NAME</t>
  </si>
  <si>
    <t>Dept</t>
  </si>
  <si>
    <t>SIGNATURE</t>
  </si>
  <si>
    <t>notes</t>
  </si>
  <si>
    <t>CHU THỊ THẢO</t>
  </si>
  <si>
    <t>FIN</t>
  </si>
  <si>
    <t>ĐỒNG THỊ HỒNG HẠNH</t>
  </si>
  <si>
    <t>PHẠM THỊ QUYÊN</t>
  </si>
  <si>
    <t>NGUYỄN THỊ HẢI YẾN</t>
  </si>
  <si>
    <t>GPr</t>
  </si>
  <si>
    <t>PHẠM HUỲNH HỒNG HƯƠNG</t>
  </si>
  <si>
    <t>HRA</t>
  </si>
  <si>
    <t>PHẠM THỊ ÁI NHÂN</t>
  </si>
  <si>
    <t>LÊ ANH KHOA</t>
  </si>
  <si>
    <t>IT</t>
  </si>
  <si>
    <t>LÊ THÁI CHÂU</t>
  </si>
  <si>
    <t>LG</t>
  </si>
  <si>
    <t>NGUYỄN THỊ NGỌC HẬU</t>
  </si>
  <si>
    <t>TRẦN SÁCH CHIẾN</t>
  </si>
  <si>
    <t>NGUYỄN THỊ NGỌC DUNG</t>
  </si>
  <si>
    <t>ME</t>
  </si>
  <si>
    <t>PHẠM MỸ HIỀN</t>
  </si>
  <si>
    <t>NGUYỄN THANH QUẾ</t>
  </si>
  <si>
    <t>ĐẶNG QUANG VIỆT</t>
  </si>
  <si>
    <t>LÊ THỊ LAN</t>
  </si>
  <si>
    <t>MM</t>
  </si>
  <si>
    <t>LÊ THỊ MINH HẰNG</t>
  </si>
  <si>
    <t>PD</t>
  </si>
  <si>
    <t>LÊ HỒNG PHƯỢNG</t>
  </si>
  <si>
    <t>LÂM NHẤT DUY</t>
  </si>
  <si>
    <t>PHAN GIA HUY</t>
  </si>
  <si>
    <t>PHẠM THỊ HỒNG PHƯƠNG</t>
  </si>
  <si>
    <t>QA</t>
  </si>
  <si>
    <t>TRẦN NGỌC Ý</t>
  </si>
  <si>
    <t>LÊ THỊ HOÀI THƯƠNG</t>
  </si>
  <si>
    <t>NGÀN  CỎN VÀ</t>
  </si>
  <si>
    <t>NGUYỄN KIỀU THÚY HẰNG</t>
  </si>
  <si>
    <t>TRẦN THỊ THÙY LINH</t>
  </si>
  <si>
    <t>R&amp;D</t>
  </si>
  <si>
    <t>TRẦN NGỌC YẾN</t>
  </si>
  <si>
    <t>HOÀNG THỊ SÂM</t>
  </si>
  <si>
    <t>HỒ CÔNG ĐỨC</t>
  </si>
  <si>
    <t>ĐỖ THỊ THANH  THI</t>
  </si>
  <si>
    <t>TRẦN VĂN HẢI TRIỀU</t>
  </si>
  <si>
    <t>NGUYỄN NHẤT THỐNG</t>
  </si>
  <si>
    <t>ĐÀO THỊ THANH VI</t>
  </si>
  <si>
    <t>NGUYỄN VĂN QUẢNG</t>
  </si>
  <si>
    <t>NGUYỄN TRẦN SANG</t>
  </si>
  <si>
    <t>TRẦN MINH TÂM</t>
  </si>
  <si>
    <t>PHÙNG VIỆT THẮNG</t>
  </si>
  <si>
    <t>ĐẶNG QUỐC VƯƠNG</t>
  </si>
  <si>
    <t>NGUYỄN PHÚC THỊNH</t>
  </si>
  <si>
    <t>HOÀNG MINH TRIẾT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</si>
</sst>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/mmm/yy;@"/>
    <numFmt numFmtId="165" formatCode="[$-409]d\-mmm\-yy;@"/>
    <numFmt numFmtId="166" formatCode="_-* #,##0.00_-;\-* #,##0.00_-;_-* &quot;-&quot;??_-;_-@_-"/>
    <numFmt numFmtId="167" formatCode="_-* #,##0_-;\-* #,##0_-;_-* &quot;-&quot;_-;_-@_-"/>
    <numFmt numFmtId="169" formatCode="_(* #,##0.0_);_(* \(#,##0.0\);_(* &quot;-&quot;??_);_(@_)"/>
  </numFmts>
  <fonts count="2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9"/>
      <name val="Trebuchet MS"/>
      <family val="2"/>
    </font>
    <font>
      <b/>
      <sz val="9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name val="Aptos Narrow"/>
      <family val="2"/>
      <scheme val="minor"/>
    </font>
    <font>
      <sz val="9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6"/>
      <color theme="3"/>
      <name val="Lucida Sans Unicode"/>
      <family val="2"/>
    </font>
    <font>
      <b/>
      <sz val="18"/>
      <color indexed="18"/>
      <name val="Aptos Narrow"/>
      <family val="2"/>
      <scheme val="minor"/>
    </font>
    <font>
      <sz val="18"/>
      <color indexed="18"/>
      <name val="Aptos Narrow"/>
      <family val="2"/>
      <scheme val="minor"/>
    </font>
    <font>
      <sz val="24"/>
      <color indexed="18"/>
      <name val="Aptos Narrow"/>
      <family val="2"/>
      <scheme val="minor"/>
    </font>
    <font>
      <b/>
      <sz val="24"/>
      <color indexed="18"/>
      <name val="Aptos"/>
      <family val="2"/>
    </font>
    <font>
      <b/>
      <sz val="28"/>
      <color indexed="18"/>
      <name val="Aptos Narrow"/>
      <family val="2"/>
      <scheme val="minor"/>
    </font>
    <font>
      <b/>
      <sz val="20"/>
      <color indexed="18"/>
      <name val="Aptos Narrow"/>
      <family val="2"/>
      <scheme val="minor"/>
    </font>
    <font>
      <b/>
      <sz val="16"/>
      <color indexed="18"/>
      <name val="Aptos Narrow"/>
      <family val="2"/>
      <scheme val="minor"/>
    </font>
    <font>
      <sz val="20"/>
      <name val="Aptos Narrow"/>
      <family val="2"/>
      <scheme val="minor"/>
    </font>
    <font>
      <sz val="20"/>
      <color indexed="18"/>
      <name val="Aptos"/>
      <family val="2"/>
    </font>
    <font>
      <sz val="20"/>
      <color indexed="18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4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44"/>
      </patternFill>
    </fill>
  </fills>
  <borders count="16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4" fontId="2" fillId="0" borderId="0"/>
    <xf numFmtId="164" fontId="2" fillId="0" borderId="0"/>
  </cellStyleXfs>
  <cellXfs count="143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164" fontId="3" fillId="4" borderId="1" xfId="2" applyNumberFormat="1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left" vertical="center" wrapText="1"/>
    </xf>
    <xf numFmtId="0" fontId="3" fillId="4" borderId="1" xfId="2" applyFont="1" applyFill="1" applyBorder="1" applyAlignment="1">
      <alignment vertical="center" wrapText="1"/>
    </xf>
    <xf numFmtId="0" fontId="3" fillId="6" borderId="1" xfId="2" applyFont="1" applyFill="1" applyBorder="1" applyAlignment="1">
      <alignment horizontal="center" vertical="center" wrapText="1"/>
    </xf>
    <xf numFmtId="0" fontId="3" fillId="6" borderId="1" xfId="3" applyFont="1" applyFill="1" applyBorder="1" applyAlignment="1">
      <alignment horizontal="center" vertical="center" wrapText="1"/>
    </xf>
    <xf numFmtId="0" fontId="3" fillId="7" borderId="1" xfId="2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horizontal="center" vertical="center" wrapText="1"/>
    </xf>
    <xf numFmtId="0" fontId="5" fillId="10" borderId="1" xfId="2" applyFont="1" applyFill="1" applyBorder="1" applyAlignment="1">
      <alignment horizontal="center" vertical="center" wrapText="1"/>
    </xf>
    <xf numFmtId="164" fontId="5" fillId="10" borderId="1" xfId="2" applyNumberFormat="1" applyFont="1" applyFill="1" applyBorder="1" applyAlignment="1">
      <alignment horizontal="center" vertical="center" wrapText="1"/>
    </xf>
    <xf numFmtId="165" fontId="5" fillId="10" borderId="1" xfId="2" applyNumberFormat="1" applyFont="1" applyFill="1" applyBorder="1" applyAlignment="1">
      <alignment horizontal="center" vertical="center" wrapText="1"/>
    </xf>
    <xf numFmtId="14" fontId="5" fillId="10" borderId="1" xfId="2" applyNumberFormat="1" applyFont="1" applyFill="1" applyBorder="1" applyAlignment="1">
      <alignment horizontal="center" vertical="center" wrapText="1"/>
    </xf>
    <xf numFmtId="0" fontId="5" fillId="10" borderId="1" xfId="4" applyNumberFormat="1" applyFont="1" applyFill="1" applyBorder="1" applyAlignment="1">
      <alignment horizontal="center" vertical="center" wrapText="1"/>
    </xf>
    <xf numFmtId="0" fontId="6" fillId="11" borderId="1" xfId="2" applyFont="1" applyFill="1" applyBorder="1" applyAlignment="1">
      <alignment horizontal="center" vertical="center" wrapText="1"/>
    </xf>
    <xf numFmtId="0" fontId="6" fillId="10" borderId="1" xfId="2" applyFont="1" applyFill="1" applyBorder="1" applyAlignment="1">
      <alignment horizontal="center" vertical="center" wrapText="1"/>
    </xf>
    <xf numFmtId="0" fontId="6" fillId="12" borderId="1" xfId="2" applyFont="1" applyFill="1" applyBorder="1" applyAlignment="1">
      <alignment horizontal="center" vertical="center" wrapText="1"/>
    </xf>
    <xf numFmtId="0" fontId="6" fillId="13" borderId="1" xfId="2" applyFont="1" applyFill="1" applyBorder="1" applyAlignment="1">
      <alignment horizontal="center" vertical="center" wrapText="1"/>
    </xf>
    <xf numFmtId="0" fontId="6" fillId="9" borderId="1" xfId="2" applyFont="1" applyFill="1" applyBorder="1" applyAlignment="1">
      <alignment horizontal="center" vertical="center" wrapText="1"/>
    </xf>
    <xf numFmtId="0" fontId="6" fillId="15" borderId="1" xfId="2" applyFont="1" applyFill="1" applyBorder="1" applyAlignment="1">
      <alignment wrapText="1"/>
    </xf>
    <xf numFmtId="0" fontId="4" fillId="9" borderId="1" xfId="2" applyFont="1" applyFill="1" applyBorder="1" applyAlignment="1">
      <alignment horizontal="center" vertical="center" wrapText="1"/>
    </xf>
    <xf numFmtId="0" fontId="4" fillId="16" borderId="1" xfId="2" applyFont="1" applyFill="1" applyBorder="1" applyAlignment="1">
      <alignment horizontal="center" vertical="center" wrapText="1"/>
    </xf>
    <xf numFmtId="164" fontId="4" fillId="16" borderId="1" xfId="2" applyNumberFormat="1" applyFont="1" applyFill="1" applyBorder="1" applyAlignment="1">
      <alignment horizontal="center" vertical="center" wrapText="1"/>
    </xf>
    <xf numFmtId="165" fontId="4" fillId="9" borderId="1" xfId="2" applyNumberFormat="1" applyFont="1" applyFill="1" applyBorder="1" applyAlignment="1">
      <alignment horizontal="center" vertical="center" wrapText="1"/>
    </xf>
    <xf numFmtId="166" fontId="6" fillId="14" borderId="1" xfId="4" applyFont="1" applyFill="1" applyBorder="1" applyAlignment="1">
      <alignment horizontal="center" vertical="center" wrapText="1"/>
    </xf>
    <xf numFmtId="0" fontId="7" fillId="17" borderId="1" xfId="2" applyFont="1" applyFill="1" applyBorder="1" applyAlignment="1">
      <alignment horizontal="center" vertical="center" wrapText="1"/>
    </xf>
    <xf numFmtId="0" fontId="7" fillId="14" borderId="1" xfId="2" applyFont="1" applyFill="1" applyBorder="1" applyAlignment="1">
      <alignment horizontal="center" vertical="center" wrapText="1"/>
    </xf>
    <xf numFmtId="0" fontId="7" fillId="13" borderId="1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4" fontId="6" fillId="6" borderId="1" xfId="2" applyNumberFormat="1" applyFont="1" applyFill="1" applyBorder="1" applyAlignment="1">
      <alignment horizontal="center" vertical="center" wrapText="1"/>
    </xf>
    <xf numFmtId="0" fontId="8" fillId="18" borderId="0" xfId="0" applyFont="1" applyFill="1" applyAlignment="1">
      <alignment horizontal="center" vertical="center" wrapText="1"/>
    </xf>
    <xf numFmtId="0" fontId="2" fillId="0" borderId="0" xfId="2"/>
    <xf numFmtId="0" fontId="9" fillId="6" borderId="1" xfId="2" applyFont="1" applyFill="1" applyBorder="1" applyAlignment="1">
      <alignment horizontal="center" vertical="center" wrapText="1"/>
    </xf>
    <xf numFmtId="0" fontId="9" fillId="6" borderId="1" xfId="2" applyFont="1" applyFill="1" applyBorder="1" applyAlignment="1">
      <alignment horizontal="center" vertical="center"/>
    </xf>
    <xf numFmtId="0" fontId="9" fillId="6" borderId="1" xfId="4" applyNumberFormat="1" applyFont="1" applyFill="1" applyBorder="1" applyAlignment="1">
      <alignment horizontal="center" vertical="center"/>
    </xf>
    <xf numFmtId="3" fontId="9" fillId="6" borderId="1" xfId="2" quotePrefix="1" applyNumberFormat="1" applyFont="1" applyFill="1" applyBorder="1" applyAlignment="1">
      <alignment horizontal="center" vertical="center"/>
    </xf>
    <xf numFmtId="167" fontId="9" fillId="6" borderId="1" xfId="2" applyNumberFormat="1" applyFont="1" applyFill="1" applyBorder="1" applyAlignment="1">
      <alignment vertical="center"/>
    </xf>
    <xf numFmtId="164" fontId="9" fillId="6" borderId="1" xfId="2" applyNumberFormat="1" applyFont="1" applyFill="1" applyBorder="1" applyAlignment="1">
      <alignment horizontal="right" vertical="center"/>
    </xf>
    <xf numFmtId="167" fontId="9" fillId="6" borderId="1" xfId="2" applyNumberFormat="1" applyFont="1" applyFill="1" applyBorder="1" applyAlignment="1">
      <alignment horizontal="center" vertical="center"/>
    </xf>
    <xf numFmtId="167" fontId="9" fillId="0" borderId="1" xfId="2" applyNumberFormat="1" applyFont="1" applyBorder="1" applyAlignment="1">
      <alignment horizontal="center" vertical="center" wrapText="1"/>
    </xf>
    <xf numFmtId="167" fontId="9" fillId="0" borderId="1" xfId="2" applyNumberFormat="1" applyFont="1" applyBorder="1" applyAlignment="1">
      <alignment horizontal="left" vertical="center" wrapText="1"/>
    </xf>
    <xf numFmtId="0" fontId="9" fillId="0" borderId="1" xfId="2" applyFont="1" applyBorder="1" applyAlignment="1">
      <alignment vertical="center" wrapText="1"/>
    </xf>
    <xf numFmtId="167" fontId="9" fillId="6" borderId="1" xfId="2" applyNumberFormat="1" applyFont="1" applyFill="1" applyBorder="1" applyAlignment="1">
      <alignment horizontal="center" vertical="center" wrapText="1"/>
    </xf>
    <xf numFmtId="164" fontId="9" fillId="6" borderId="1" xfId="2" applyNumberFormat="1" applyFont="1" applyFill="1" applyBorder="1" applyAlignment="1">
      <alignment horizontal="center" vertical="center" wrapText="1"/>
    </xf>
    <xf numFmtId="167" fontId="9" fillId="0" borderId="1" xfId="2" applyNumberFormat="1" applyFont="1" applyBorder="1" applyAlignment="1">
      <alignment horizontal="center" vertical="center"/>
    </xf>
    <xf numFmtId="167" fontId="9" fillId="0" borderId="1" xfId="2" applyNumberFormat="1" applyFont="1" applyBorder="1" applyAlignment="1">
      <alignment vertical="center"/>
    </xf>
    <xf numFmtId="164" fontId="9" fillId="6" borderId="1" xfId="2" applyNumberFormat="1" applyFont="1" applyFill="1" applyBorder="1" applyAlignment="1">
      <alignment horizontal="center" vertical="center"/>
    </xf>
    <xf numFmtId="164" fontId="9" fillId="6" borderId="1" xfId="2" applyNumberFormat="1" applyFont="1" applyFill="1" applyBorder="1" applyAlignment="1">
      <alignment horizontal="left" vertical="center"/>
    </xf>
    <xf numFmtId="165" fontId="9" fillId="6" borderId="1" xfId="2" applyNumberFormat="1" applyFont="1" applyFill="1" applyBorder="1" applyAlignment="1">
      <alignment horizontal="center" vertical="center" wrapText="1"/>
    </xf>
    <xf numFmtId="14" fontId="9" fillId="6" borderId="1" xfId="2" applyNumberFormat="1" applyFont="1" applyFill="1" applyBorder="1" applyAlignment="1">
      <alignment horizontal="center" vertical="center"/>
    </xf>
    <xf numFmtId="0" fontId="9" fillId="6" borderId="1" xfId="2" quotePrefix="1" applyFont="1" applyFill="1" applyBorder="1" applyAlignment="1">
      <alignment horizontal="center" vertical="center"/>
    </xf>
    <xf numFmtId="14" fontId="9" fillId="6" borderId="1" xfId="2" quotePrefix="1" applyNumberFormat="1" applyFont="1" applyFill="1" applyBorder="1" applyAlignment="1">
      <alignment horizontal="left" vertical="center"/>
    </xf>
    <xf numFmtId="0" fontId="9" fillId="6" borderId="1" xfId="2" quotePrefix="1" applyFont="1" applyFill="1" applyBorder="1" applyAlignment="1">
      <alignment horizontal="left" vertical="center"/>
    </xf>
    <xf numFmtId="0" fontId="9" fillId="6" borderId="1" xfId="2" applyFont="1" applyFill="1" applyBorder="1" applyAlignment="1">
      <alignment vertical="center" wrapText="1"/>
    </xf>
    <xf numFmtId="0" fontId="9" fillId="6" borderId="1" xfId="2" applyFont="1" applyFill="1" applyBorder="1" applyAlignment="1">
      <alignment horizontal="left" vertical="center" wrapText="1"/>
    </xf>
    <xf numFmtId="167" fontId="9" fillId="13" borderId="1" xfId="2" applyNumberFormat="1" applyFont="1" applyFill="1" applyBorder="1" applyAlignment="1">
      <alignment horizontal="center" vertical="center" wrapText="1"/>
    </xf>
    <xf numFmtId="17" fontId="9" fillId="6" borderId="1" xfId="2" quotePrefix="1" applyNumberFormat="1" applyFont="1" applyFill="1" applyBorder="1" applyAlignment="1">
      <alignment horizontal="center" vertical="center" wrapText="1"/>
    </xf>
    <xf numFmtId="0" fontId="9" fillId="0" borderId="1" xfId="2" applyFont="1" applyBorder="1"/>
    <xf numFmtId="3" fontId="9" fillId="9" borderId="1" xfId="2" applyNumberFormat="1" applyFont="1" applyFill="1" applyBorder="1" applyAlignment="1">
      <alignment horizontal="center" vertical="center"/>
    </xf>
    <xf numFmtId="3" fontId="9" fillId="0" borderId="1" xfId="2" applyNumberFormat="1" applyFont="1" applyBorder="1" applyAlignment="1">
      <alignment horizontal="center" vertical="center"/>
    </xf>
    <xf numFmtId="164" fontId="9" fillId="0" borderId="1" xfId="2" applyNumberFormat="1" applyFont="1" applyBorder="1" applyAlignment="1">
      <alignment horizontal="center" vertical="center"/>
    </xf>
    <xf numFmtId="165" fontId="9" fillId="9" borderId="1" xfId="2" applyNumberFormat="1" applyFont="1" applyFill="1" applyBorder="1" applyAlignment="1">
      <alignment horizontal="center" vertical="center"/>
    </xf>
    <xf numFmtId="3" fontId="9" fillId="0" borderId="1" xfId="2" applyNumberFormat="1" applyFont="1" applyBorder="1" applyAlignment="1">
      <alignment horizontal="center" vertical="center" wrapText="1"/>
    </xf>
    <xf numFmtId="166" fontId="9" fillId="14" borderId="1" xfId="4" applyFont="1" applyFill="1" applyBorder="1" applyAlignment="1">
      <alignment horizontal="center" vertical="center"/>
    </xf>
    <xf numFmtId="3" fontId="9" fillId="9" borderId="1" xfId="2" applyNumberFormat="1" applyFont="1" applyFill="1" applyBorder="1" applyAlignment="1">
      <alignment horizontal="left" vertical="center"/>
    </xf>
    <xf numFmtId="167" fontId="2" fillId="6" borderId="1" xfId="5" applyNumberFormat="1" applyFill="1" applyBorder="1" applyAlignment="1">
      <alignment horizontal="center" vertical="center"/>
    </xf>
    <xf numFmtId="169" fontId="2" fillId="14" borderId="1" xfId="4" applyNumberFormat="1" applyFont="1" applyFill="1" applyBorder="1" applyAlignment="1">
      <alignment horizontal="center" vertical="center" wrapText="1"/>
    </xf>
    <xf numFmtId="1" fontId="10" fillId="14" borderId="2" xfId="6" applyNumberFormat="1" applyFont="1" applyFill="1" applyBorder="1" applyAlignment="1">
      <alignment horizontal="center" vertical="center" wrapText="1"/>
    </xf>
    <xf numFmtId="167" fontId="2" fillId="13" borderId="1" xfId="5" applyNumberFormat="1" applyFill="1" applyBorder="1" applyAlignment="1">
      <alignment horizontal="center" vertical="center"/>
    </xf>
    <xf numFmtId="167" fontId="2" fillId="14" borderId="1" xfId="5" applyNumberFormat="1" applyFill="1" applyBorder="1" applyAlignment="1">
      <alignment horizontal="center" vertical="center"/>
    </xf>
    <xf numFmtId="167" fontId="2" fillId="0" borderId="1" xfId="5" applyNumberFormat="1" applyBorder="1" applyAlignment="1">
      <alignment horizontal="center" vertical="center"/>
    </xf>
    <xf numFmtId="3" fontId="9" fillId="14" borderId="1" xfId="2" applyNumberFormat="1" applyFont="1" applyFill="1" applyBorder="1" applyAlignment="1">
      <alignment horizontal="center" vertical="center"/>
    </xf>
    <xf numFmtId="164" fontId="9" fillId="0" borderId="1" xfId="2" applyNumberFormat="1" applyFont="1" applyBorder="1" applyAlignment="1">
      <alignment horizontal="center" vertical="center" wrapText="1"/>
    </xf>
    <xf numFmtId="14" fontId="2" fillId="0" borderId="0" xfId="2" applyNumberFormat="1"/>
    <xf numFmtId="0" fontId="2" fillId="19" borderId="0" xfId="2" applyFill="1"/>
    <xf numFmtId="3" fontId="1" fillId="0" borderId="1" xfId="1" applyNumberForma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15" fillId="0" borderId="5" xfId="0" applyFont="1" applyBorder="1" applyAlignment="1">
      <alignment horizontal="left" vertical="top"/>
    </xf>
    <xf numFmtId="0" fontId="15" fillId="0" borderId="6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16" fillId="20" borderId="8" xfId="0" applyFont="1" applyFill="1" applyBorder="1" applyAlignment="1">
      <alignment horizontal="left" vertical="center" wrapText="1"/>
    </xf>
    <xf numFmtId="0" fontId="16" fillId="20" borderId="9" xfId="0" applyFont="1" applyFill="1" applyBorder="1" applyAlignment="1">
      <alignment horizontal="left" vertical="center" wrapText="1"/>
    </xf>
    <xf numFmtId="0" fontId="16" fillId="20" borderId="10" xfId="0" applyFont="1" applyFill="1" applyBorder="1" applyAlignment="1">
      <alignment horizontal="left" vertical="center" wrapText="1"/>
    </xf>
    <xf numFmtId="0" fontId="16" fillId="20" borderId="1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6" fillId="20" borderId="3" xfId="0" applyFont="1" applyFill="1" applyBorder="1" applyAlignment="1">
      <alignment horizontal="left" vertical="top" wrapText="1"/>
    </xf>
    <xf numFmtId="0" fontId="16" fillId="20" borderId="4" xfId="0" applyFont="1" applyFill="1" applyBorder="1" applyAlignment="1">
      <alignment horizontal="left" vertical="top" wrapText="1"/>
    </xf>
    <xf numFmtId="0" fontId="16" fillId="20" borderId="4" xfId="0" applyFont="1" applyFill="1" applyBorder="1" applyAlignment="1">
      <alignment vertical="top" wrapText="1"/>
    </xf>
    <xf numFmtId="0" fontId="16" fillId="20" borderId="5" xfId="0" applyFont="1" applyFill="1" applyBorder="1" applyAlignment="1">
      <alignment horizontal="center" vertical="top" wrapText="1"/>
    </xf>
    <xf numFmtId="0" fontId="16" fillId="20" borderId="11" xfId="0" applyFont="1" applyFill="1" applyBorder="1" applyAlignment="1">
      <alignment horizontal="left" vertical="top" wrapText="1"/>
    </xf>
    <xf numFmtId="0" fontId="16" fillId="20" borderId="11" xfId="0" applyFont="1" applyFill="1" applyBorder="1" applyAlignment="1">
      <alignment horizontal="center" vertical="top" wrapText="1"/>
    </xf>
    <xf numFmtId="0" fontId="17" fillId="20" borderId="6" xfId="0" quotePrefix="1" applyFont="1" applyFill="1" applyBorder="1" applyAlignment="1">
      <alignment horizontal="left" vertical="top" wrapText="1"/>
    </xf>
    <xf numFmtId="0" fontId="17" fillId="20" borderId="0" xfId="0" applyFont="1" applyFill="1" applyAlignment="1">
      <alignment horizontal="left" vertical="top" wrapText="1"/>
    </xf>
    <xf numFmtId="0" fontId="16" fillId="20" borderId="7" xfId="0" applyFont="1" applyFill="1" applyBorder="1" applyAlignment="1">
      <alignment horizontal="center" vertical="top" wrapText="1"/>
    </xf>
    <xf numFmtId="0" fontId="16" fillId="20" borderId="11" xfId="0" applyFont="1" applyFill="1" applyBorder="1" applyAlignment="1">
      <alignment horizontal="left" vertical="top"/>
    </xf>
    <xf numFmtId="14" fontId="16" fillId="20" borderId="11" xfId="0" applyNumberFormat="1" applyFont="1" applyFill="1" applyBorder="1" applyAlignment="1">
      <alignment horizontal="center" vertical="top" wrapText="1"/>
    </xf>
    <xf numFmtId="0" fontId="17" fillId="20" borderId="12" xfId="0" quotePrefix="1" applyFont="1" applyFill="1" applyBorder="1" applyAlignment="1">
      <alignment horizontal="left" vertical="top" wrapText="1"/>
    </xf>
    <xf numFmtId="0" fontId="17" fillId="20" borderId="13" xfId="0" quotePrefix="1" applyFont="1" applyFill="1" applyBorder="1" applyAlignment="1">
      <alignment horizontal="left" vertical="top" wrapText="1"/>
    </xf>
    <xf numFmtId="0" fontId="16" fillId="20" borderId="14" xfId="0" applyFont="1" applyFill="1" applyBorder="1" applyAlignment="1">
      <alignment horizontal="center" vertical="top" wrapText="1"/>
    </xf>
    <xf numFmtId="0" fontId="16" fillId="20" borderId="11" xfId="0" applyFont="1" applyFill="1" applyBorder="1" applyAlignment="1">
      <alignment horizontal="left" vertical="top" wrapText="1"/>
    </xf>
    <xf numFmtId="0" fontId="16" fillId="20" borderId="11" xfId="0" applyFont="1" applyFill="1" applyBorder="1" applyAlignment="1">
      <alignment horizontal="center" vertical="center" wrapText="1"/>
    </xf>
    <xf numFmtId="0" fontId="16" fillId="20" borderId="8" xfId="0" applyFont="1" applyFill="1" applyBorder="1" applyAlignment="1">
      <alignment horizontal="left" vertical="top" wrapText="1"/>
    </xf>
    <xf numFmtId="0" fontId="16" fillId="20" borderId="11" xfId="0" applyFont="1" applyFill="1" applyBorder="1" applyAlignment="1">
      <alignment horizontal="center" vertical="center"/>
    </xf>
    <xf numFmtId="0" fontId="16" fillId="20" borderId="8" xfId="0" applyFont="1" applyFill="1" applyBorder="1" applyAlignment="1">
      <alignment vertical="top" wrapText="1"/>
    </xf>
    <xf numFmtId="0" fontId="16" fillId="20" borderId="9" xfId="0" applyFont="1" applyFill="1" applyBorder="1" applyAlignment="1">
      <alignment horizontal="center" vertical="top" wrapText="1"/>
    </xf>
    <xf numFmtId="0" fontId="16" fillId="20" borderId="9" xfId="0" applyFont="1" applyFill="1" applyBorder="1" applyAlignment="1">
      <alignment vertical="top" wrapText="1"/>
    </xf>
    <xf numFmtId="0" fontId="16" fillId="20" borderId="10" xfId="0" applyFont="1" applyFill="1" applyBorder="1" applyAlignment="1">
      <alignment vertical="top" wrapText="1"/>
    </xf>
    <xf numFmtId="0" fontId="16" fillId="21" borderId="8" xfId="0" applyFont="1" applyFill="1" applyBorder="1" applyAlignment="1">
      <alignment horizontal="center" vertical="center" wrapText="1"/>
    </xf>
    <xf numFmtId="0" fontId="16" fillId="21" borderId="10" xfId="0" applyFont="1" applyFill="1" applyBorder="1" applyAlignment="1">
      <alignment horizontal="center" vertical="center" wrapText="1"/>
    </xf>
    <xf numFmtId="0" fontId="16" fillId="22" borderId="11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20" borderId="11" xfId="0" applyFont="1" applyFill="1" applyBorder="1" applyAlignment="1">
      <alignment horizontal="left" vertical="center" wrapText="1"/>
    </xf>
    <xf numFmtId="0" fontId="19" fillId="20" borderId="11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1" fillId="21" borderId="15" xfId="0" applyFont="1" applyFill="1" applyBorder="1" applyAlignment="1">
      <alignment horizontal="center" vertical="center"/>
    </xf>
    <xf numFmtId="0" fontId="21" fillId="21" borderId="8" xfId="0" applyFont="1" applyFill="1" applyBorder="1" applyAlignment="1">
      <alignment horizontal="center" vertical="center"/>
    </xf>
    <xf numFmtId="0" fontId="21" fillId="21" borderId="10" xfId="0" applyFont="1" applyFill="1" applyBorder="1" applyAlignment="1">
      <alignment horizontal="center" vertical="center"/>
    </xf>
    <xf numFmtId="0" fontId="21" fillId="21" borderId="8" xfId="0" applyFont="1" applyFill="1" applyBorder="1" applyAlignment="1">
      <alignment horizontal="center" vertical="center"/>
    </xf>
    <xf numFmtId="0" fontId="21" fillId="21" borderId="11" xfId="0" applyFont="1" applyFill="1" applyBorder="1" applyAlignment="1">
      <alignment horizontal="center" vertical="center"/>
    </xf>
    <xf numFmtId="0" fontId="22" fillId="21" borderId="15" xfId="0" applyFont="1" applyFill="1" applyBorder="1"/>
    <xf numFmtId="0" fontId="21" fillId="21" borderId="6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left" vertical="top" wrapText="1"/>
    </xf>
    <xf numFmtId="0" fontId="26" fillId="0" borderId="0" xfId="0" applyFont="1"/>
    <xf numFmtId="0" fontId="25" fillId="0" borderId="0" xfId="0" applyFont="1" applyAlignment="1">
      <alignment horizontal="left" vertical="top" wrapText="1"/>
    </xf>
    <xf numFmtId="0" fontId="24" fillId="0" borderId="1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7">
    <cellStyle name="Comma 3 2 2" xfId="4" xr:uid="{21D59221-074A-4D92-8007-9CA284A91C76}"/>
    <cellStyle name="Hyperlink" xfId="1" builtinId="8"/>
    <cellStyle name="Normal" xfId="0" builtinId="0"/>
    <cellStyle name="Normal 10" xfId="3" xr:uid="{8C31DAE9-2A69-482C-A8C0-97C2AF44253D}"/>
    <cellStyle name="Normal 2 2" xfId="2" xr:uid="{6F6A5797-C708-4F43-A1CC-82BA0FA2CB06}"/>
    <cellStyle name="Normal 2 2 3" xfId="6" xr:uid="{31EA7128-17AD-4FEC-B946-180C99F504F7}"/>
    <cellStyle name="Normal 2 2 3 2" xfId="5" xr:uid="{A89603DB-0522-4AC4-95E7-F0418EE6247D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73729</xdr:colOff>
      <xdr:row>0</xdr:row>
      <xdr:rowOff>45357</xdr:rowOff>
    </xdr:from>
    <xdr:to>
      <xdr:col>2</xdr:col>
      <xdr:colOff>867025</xdr:colOff>
      <xdr:row>2</xdr:row>
      <xdr:rowOff>131536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5EF248B-0C80-46BE-853D-15FEB1E8A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9167"/>
        <a:stretch>
          <a:fillRect/>
        </a:stretch>
      </xdr:blipFill>
      <xdr:spPr bwMode="auto">
        <a:xfrm>
          <a:off x="73729" y="45357"/>
          <a:ext cx="3422196" cy="454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1073725</xdr:colOff>
      <xdr:row>0</xdr:row>
      <xdr:rowOff>0</xdr:rowOff>
    </xdr:from>
    <xdr:to>
      <xdr:col>5</xdr:col>
      <xdr:colOff>1915679</xdr:colOff>
      <xdr:row>3</xdr:row>
      <xdr:rowOff>170591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A2AA29D-A9D7-4758-AED8-2725A0B58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8425" y="0"/>
          <a:ext cx="841954" cy="723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nhan.pham@datalog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7C54-3D99-46A9-A83E-65492A1A9BB2}">
  <sheetPr>
    <pageSetUpPr fitToPage="1"/>
  </sheetPr>
  <dimension ref="A1:H62"/>
  <sheetViews>
    <sheetView view="pageBreakPreview" topLeftCell="A35" zoomScale="39" zoomScaleNormal="55" zoomScaleSheetLayoutView="39" zoomScalePageLayoutView="40" workbookViewId="0">
      <selection activeCell="M18" sqref="M18"/>
    </sheetView>
  </sheetViews>
  <sheetFormatPr defaultRowHeight="14.5" x14ac:dyDescent="0.35"/>
  <cols>
    <col min="1" max="1" width="11.1796875" customWidth="1"/>
    <col min="2" max="2" width="26.453125" style="142" customWidth="1"/>
    <col min="3" max="3" width="35.81640625" customWidth="1"/>
    <col min="4" max="4" width="22" style="142" customWidth="1"/>
    <col min="5" max="5" width="24.7265625" customWidth="1"/>
    <col min="6" max="6" width="31.453125" style="142" customWidth="1"/>
    <col min="7" max="7" width="13.7265625" hidden="1" customWidth="1"/>
  </cols>
  <sheetData>
    <row r="1" spans="1:8" ht="14.5" customHeight="1" x14ac:dyDescent="0.35">
      <c r="A1" s="80" t="s">
        <v>155</v>
      </c>
      <c r="B1" s="81"/>
      <c r="C1" s="81"/>
      <c r="D1" s="81"/>
      <c r="E1" s="81"/>
      <c r="F1" s="82"/>
    </row>
    <row r="2" spans="1:8" ht="14.5" customHeight="1" x14ac:dyDescent="0.35">
      <c r="A2" s="83"/>
      <c r="B2" s="84"/>
      <c r="C2" s="84"/>
      <c r="D2" s="84"/>
      <c r="E2" s="84"/>
      <c r="F2" s="85"/>
    </row>
    <row r="3" spans="1:8" ht="14.5" customHeight="1" x14ac:dyDescent="0.35">
      <c r="A3" s="83"/>
      <c r="B3" s="84"/>
      <c r="C3" s="84"/>
      <c r="D3" s="84"/>
      <c r="E3" s="84"/>
      <c r="F3" s="85"/>
    </row>
    <row r="4" spans="1:8" ht="14.5" customHeight="1" x14ac:dyDescent="0.35">
      <c r="A4" s="83"/>
      <c r="B4" s="84"/>
      <c r="C4" s="84"/>
      <c r="D4" s="84"/>
      <c r="E4" s="84"/>
      <c r="F4" s="85"/>
    </row>
    <row r="5" spans="1:8" s="90" customFormat="1" ht="34.5" customHeight="1" x14ac:dyDescent="0.35">
      <c r="A5" s="86" t="s">
        <v>156</v>
      </c>
      <c r="B5" s="87"/>
      <c r="C5" s="87"/>
      <c r="D5" s="88"/>
      <c r="E5" s="89"/>
      <c r="F5" s="89"/>
    </row>
    <row r="6" spans="1:8" ht="25" customHeight="1" x14ac:dyDescent="0.35">
      <c r="A6" s="91" t="s">
        <v>157</v>
      </c>
      <c r="B6" s="92"/>
      <c r="C6" s="93"/>
      <c r="D6" s="94"/>
      <c r="E6" s="95" t="s">
        <v>158</v>
      </c>
      <c r="F6" s="96" t="s">
        <v>159</v>
      </c>
    </row>
    <row r="7" spans="1:8" ht="23" customHeight="1" x14ac:dyDescent="0.35">
      <c r="A7" s="97" t="s">
        <v>160</v>
      </c>
      <c r="B7" s="98"/>
      <c r="C7" s="98"/>
      <c r="D7" s="99"/>
      <c r="E7" s="100" t="s">
        <v>161</v>
      </c>
      <c r="F7" s="101" t="s">
        <v>162</v>
      </c>
    </row>
    <row r="8" spans="1:8" ht="26.5" customHeight="1" x14ac:dyDescent="0.35">
      <c r="A8" s="102"/>
      <c r="B8" s="103"/>
      <c r="C8" s="103"/>
      <c r="D8" s="104"/>
      <c r="E8" s="105"/>
      <c r="F8" s="106"/>
    </row>
    <row r="9" spans="1:8" ht="43" customHeight="1" x14ac:dyDescent="0.35">
      <c r="A9" s="107" t="s">
        <v>163</v>
      </c>
      <c r="B9" s="96" t="s">
        <v>164</v>
      </c>
      <c r="C9" s="95" t="s">
        <v>165</v>
      </c>
      <c r="D9" s="95" t="s">
        <v>166</v>
      </c>
      <c r="E9" s="105"/>
      <c r="F9" s="108"/>
    </row>
    <row r="10" spans="1:8" ht="23.5" x14ac:dyDescent="0.35">
      <c r="A10" s="109"/>
      <c r="B10" s="110"/>
      <c r="C10" s="111"/>
      <c r="D10" s="110"/>
      <c r="E10" s="111"/>
      <c r="F10" s="112"/>
    </row>
    <row r="11" spans="1:8" ht="23.5" x14ac:dyDescent="0.35">
      <c r="A11" s="113" t="s">
        <v>167</v>
      </c>
      <c r="B11" s="114"/>
      <c r="C11" s="115" t="s">
        <v>3</v>
      </c>
      <c r="D11" s="115" t="s">
        <v>4</v>
      </c>
      <c r="E11" s="115" t="s">
        <v>168</v>
      </c>
      <c r="F11" s="115" t="s">
        <v>169</v>
      </c>
    </row>
    <row r="12" spans="1:8" ht="30" customHeight="1" x14ac:dyDescent="0.35">
      <c r="A12" s="116" t="s">
        <v>170</v>
      </c>
      <c r="B12" s="117"/>
      <c r="C12" s="118"/>
      <c r="D12" s="119"/>
      <c r="E12" s="120"/>
      <c r="F12" s="96"/>
    </row>
    <row r="13" spans="1:8" ht="30" customHeight="1" x14ac:dyDescent="0.35">
      <c r="A13" s="116"/>
      <c r="B13" s="117"/>
      <c r="C13" s="121"/>
      <c r="D13" s="122"/>
      <c r="E13" s="120"/>
      <c r="F13" s="96"/>
    </row>
    <row r="14" spans="1:8" ht="56" customHeight="1" x14ac:dyDescent="0.35">
      <c r="A14" s="123" t="s">
        <v>171</v>
      </c>
      <c r="B14" s="123"/>
      <c r="C14" s="123"/>
      <c r="D14" s="123"/>
      <c r="E14" s="123"/>
      <c r="F14" s="123"/>
    </row>
    <row r="15" spans="1:8" ht="37" customHeight="1" x14ac:dyDescent="0.5">
      <c r="A15" s="124" t="s">
        <v>172</v>
      </c>
      <c r="B15" s="124" t="s">
        <v>173</v>
      </c>
      <c r="C15" s="125" t="s">
        <v>174</v>
      </c>
      <c r="D15" s="126"/>
      <c r="E15" s="127" t="s">
        <v>175</v>
      </c>
      <c r="F15" s="128" t="s">
        <v>176</v>
      </c>
      <c r="G15" s="129" t="s">
        <v>177</v>
      </c>
      <c r="H15" s="130"/>
    </row>
    <row r="16" spans="1:8" s="138" customFormat="1" ht="38" customHeight="1" x14ac:dyDescent="0.6">
      <c r="A16" s="131">
        <f t="shared" ref="A16:A54" si="0">ROW()-15</f>
        <v>1</v>
      </c>
      <c r="B16" s="132">
        <v>20241362</v>
      </c>
      <c r="C16" s="133" t="s">
        <v>178</v>
      </c>
      <c r="D16" s="134"/>
      <c r="E16" s="135" t="s">
        <v>179</v>
      </c>
      <c r="F16" s="136"/>
      <c r="G16" s="137"/>
    </row>
    <row r="17" spans="1:7" s="138" customFormat="1" ht="38" customHeight="1" x14ac:dyDescent="0.6">
      <c r="A17" s="131">
        <f t="shared" si="0"/>
        <v>2</v>
      </c>
      <c r="B17" s="132">
        <v>20241363</v>
      </c>
      <c r="C17" s="133" t="s">
        <v>180</v>
      </c>
      <c r="D17" s="134"/>
      <c r="E17" s="134" t="s">
        <v>179</v>
      </c>
      <c r="F17" s="136"/>
      <c r="G17" s="137"/>
    </row>
    <row r="18" spans="1:7" s="138" customFormat="1" ht="38" customHeight="1" x14ac:dyDescent="0.6">
      <c r="A18" s="131">
        <f t="shared" si="0"/>
        <v>3</v>
      </c>
      <c r="B18" s="132">
        <v>20241366</v>
      </c>
      <c r="C18" s="133" t="s">
        <v>181</v>
      </c>
      <c r="D18" s="134"/>
      <c r="E18" s="134" t="s">
        <v>179</v>
      </c>
      <c r="F18" s="136"/>
      <c r="G18" s="137"/>
    </row>
    <row r="19" spans="1:7" s="138" customFormat="1" ht="38" customHeight="1" x14ac:dyDescent="0.6">
      <c r="A19" s="131">
        <f t="shared" si="0"/>
        <v>4</v>
      </c>
      <c r="B19" s="132">
        <v>20241400</v>
      </c>
      <c r="C19" s="133" t="s">
        <v>182</v>
      </c>
      <c r="D19" s="134"/>
      <c r="E19" s="134" t="s">
        <v>183</v>
      </c>
      <c r="F19" s="136"/>
      <c r="G19" s="137"/>
    </row>
    <row r="20" spans="1:7" s="138" customFormat="1" ht="38" customHeight="1" x14ac:dyDescent="0.6">
      <c r="A20" s="131">
        <f t="shared" si="0"/>
        <v>5</v>
      </c>
      <c r="B20" s="132">
        <v>20150916</v>
      </c>
      <c r="C20" s="133" t="s">
        <v>184</v>
      </c>
      <c r="D20" s="134"/>
      <c r="E20" s="134" t="s">
        <v>185</v>
      </c>
      <c r="F20" s="136"/>
      <c r="G20" s="137"/>
    </row>
    <row r="21" spans="1:7" s="138" customFormat="1" ht="38" customHeight="1" x14ac:dyDescent="0.6">
      <c r="A21" s="131">
        <f t="shared" si="0"/>
        <v>6</v>
      </c>
      <c r="B21" s="132">
        <v>20171090</v>
      </c>
      <c r="C21" s="133" t="s">
        <v>186</v>
      </c>
      <c r="D21" s="134"/>
      <c r="E21" s="134" t="s">
        <v>185</v>
      </c>
      <c r="F21" s="136"/>
      <c r="G21" s="137"/>
    </row>
    <row r="22" spans="1:7" s="138" customFormat="1" ht="38" customHeight="1" x14ac:dyDescent="0.6">
      <c r="A22" s="131">
        <f t="shared" si="0"/>
        <v>7</v>
      </c>
      <c r="B22" s="132">
        <v>20261616</v>
      </c>
      <c r="C22" s="133" t="s">
        <v>187</v>
      </c>
      <c r="D22" s="134"/>
      <c r="E22" s="134" t="s">
        <v>188</v>
      </c>
      <c r="F22" s="136"/>
      <c r="G22" s="137"/>
    </row>
    <row r="23" spans="1:7" s="138" customFormat="1" ht="38" customHeight="1" x14ac:dyDescent="0.6">
      <c r="A23" s="131">
        <f t="shared" si="0"/>
        <v>8</v>
      </c>
      <c r="B23" s="132">
        <v>20110254</v>
      </c>
      <c r="C23" s="133" t="s">
        <v>189</v>
      </c>
      <c r="D23" s="134"/>
      <c r="E23" s="134" t="s">
        <v>190</v>
      </c>
      <c r="F23" s="136"/>
      <c r="G23" s="137"/>
    </row>
    <row r="24" spans="1:7" s="138" customFormat="1" ht="38" customHeight="1" x14ac:dyDescent="0.6">
      <c r="A24" s="131">
        <f t="shared" si="0"/>
        <v>9</v>
      </c>
      <c r="B24" s="132">
        <v>20110637</v>
      </c>
      <c r="C24" s="133" t="s">
        <v>191</v>
      </c>
      <c r="D24" s="134"/>
      <c r="E24" s="135" t="s">
        <v>190</v>
      </c>
      <c r="F24" s="136"/>
      <c r="G24" s="137"/>
    </row>
    <row r="25" spans="1:7" s="138" customFormat="1" ht="38" customHeight="1" x14ac:dyDescent="0.6">
      <c r="A25" s="131">
        <f t="shared" si="0"/>
        <v>10</v>
      </c>
      <c r="B25" s="132">
        <v>20221315</v>
      </c>
      <c r="C25" s="133" t="s">
        <v>192</v>
      </c>
      <c r="D25" s="134"/>
      <c r="E25" s="134" t="s">
        <v>190</v>
      </c>
      <c r="F25" s="136"/>
      <c r="G25" s="137"/>
    </row>
    <row r="26" spans="1:7" s="138" customFormat="1" ht="38" customHeight="1" x14ac:dyDescent="0.6">
      <c r="A26" s="131">
        <f t="shared" si="0"/>
        <v>11</v>
      </c>
      <c r="B26" s="132">
        <v>20090028</v>
      </c>
      <c r="C26" s="133" t="s">
        <v>193</v>
      </c>
      <c r="D26" s="134"/>
      <c r="E26" s="135" t="s">
        <v>194</v>
      </c>
      <c r="F26" s="136"/>
      <c r="G26" s="139"/>
    </row>
    <row r="27" spans="1:7" s="138" customFormat="1" ht="38" customHeight="1" x14ac:dyDescent="0.6">
      <c r="A27" s="131">
        <f t="shared" si="0"/>
        <v>12</v>
      </c>
      <c r="B27" s="132">
        <v>20100171</v>
      </c>
      <c r="C27" s="133" t="s">
        <v>195</v>
      </c>
      <c r="D27" s="134"/>
      <c r="E27" s="135" t="s">
        <v>194</v>
      </c>
      <c r="F27" s="136"/>
      <c r="G27" s="139"/>
    </row>
    <row r="28" spans="1:7" ht="38" customHeight="1" x14ac:dyDescent="0.35">
      <c r="A28" s="131">
        <f t="shared" si="0"/>
        <v>13</v>
      </c>
      <c r="B28" s="132">
        <v>20110275</v>
      </c>
      <c r="C28" s="133" t="s">
        <v>196</v>
      </c>
      <c r="D28" s="134"/>
      <c r="E28" s="135" t="s">
        <v>194</v>
      </c>
      <c r="F28" s="136"/>
    </row>
    <row r="29" spans="1:7" ht="38" customHeight="1" x14ac:dyDescent="0.35">
      <c r="A29" s="131">
        <f t="shared" si="0"/>
        <v>14</v>
      </c>
      <c r="B29" s="132">
        <v>20221296</v>
      </c>
      <c r="C29" s="133" t="s">
        <v>197</v>
      </c>
      <c r="D29" s="134"/>
      <c r="E29" s="134" t="s">
        <v>194</v>
      </c>
      <c r="F29" s="136"/>
    </row>
    <row r="30" spans="1:7" ht="38" customHeight="1" x14ac:dyDescent="0.35">
      <c r="A30" s="131">
        <f t="shared" si="0"/>
        <v>15</v>
      </c>
      <c r="B30" s="132">
        <v>20211263</v>
      </c>
      <c r="C30" s="133" t="s">
        <v>198</v>
      </c>
      <c r="D30" s="134"/>
      <c r="E30" s="135" t="s">
        <v>199</v>
      </c>
      <c r="F30" s="136"/>
    </row>
    <row r="31" spans="1:7" ht="38" customHeight="1" x14ac:dyDescent="0.35">
      <c r="A31" s="131">
        <f t="shared" si="0"/>
        <v>16</v>
      </c>
      <c r="B31" s="132">
        <v>20090070</v>
      </c>
      <c r="C31" s="133" t="s">
        <v>200</v>
      </c>
      <c r="D31" s="134"/>
      <c r="E31" s="135" t="s">
        <v>201</v>
      </c>
      <c r="F31" s="136"/>
    </row>
    <row r="32" spans="1:7" ht="38" customHeight="1" x14ac:dyDescent="0.35">
      <c r="A32" s="131">
        <f t="shared" si="0"/>
        <v>17</v>
      </c>
      <c r="B32" s="132">
        <v>20150877</v>
      </c>
      <c r="C32" s="133" t="s">
        <v>202</v>
      </c>
      <c r="D32" s="134"/>
      <c r="E32" s="134" t="s">
        <v>201</v>
      </c>
      <c r="F32" s="136"/>
    </row>
    <row r="33" spans="1:6" ht="38" customHeight="1" x14ac:dyDescent="0.35">
      <c r="A33" s="131">
        <f t="shared" si="0"/>
        <v>18</v>
      </c>
      <c r="B33" s="132">
        <v>20150953</v>
      </c>
      <c r="C33" s="133" t="s">
        <v>203</v>
      </c>
      <c r="D33" s="134"/>
      <c r="E33" s="135" t="s">
        <v>201</v>
      </c>
      <c r="F33" s="136"/>
    </row>
    <row r="34" spans="1:6" ht="38" customHeight="1" x14ac:dyDescent="0.35">
      <c r="A34" s="131">
        <f t="shared" si="0"/>
        <v>19</v>
      </c>
      <c r="B34" s="132">
        <v>20261625</v>
      </c>
      <c r="C34" s="133" t="s">
        <v>204</v>
      </c>
      <c r="D34" s="134"/>
      <c r="E34" s="135" t="s">
        <v>201</v>
      </c>
      <c r="F34" s="136"/>
    </row>
    <row r="35" spans="1:6" ht="38" customHeight="1" x14ac:dyDescent="0.35">
      <c r="A35" s="131">
        <f t="shared" si="0"/>
        <v>20</v>
      </c>
      <c r="B35" s="132">
        <v>20181136</v>
      </c>
      <c r="C35" s="133" t="s">
        <v>205</v>
      </c>
      <c r="D35" s="134"/>
      <c r="E35" s="134" t="s">
        <v>206</v>
      </c>
      <c r="F35" s="136"/>
    </row>
    <row r="36" spans="1:6" ht="38" customHeight="1" x14ac:dyDescent="0.35">
      <c r="A36" s="131">
        <f t="shared" si="0"/>
        <v>21</v>
      </c>
      <c r="B36" s="132">
        <v>20221300</v>
      </c>
      <c r="C36" s="133" t="s">
        <v>207</v>
      </c>
      <c r="D36" s="134"/>
      <c r="E36" s="134" t="s">
        <v>206</v>
      </c>
      <c r="F36" s="136"/>
    </row>
    <row r="37" spans="1:6" ht="38" customHeight="1" x14ac:dyDescent="0.35">
      <c r="A37" s="131">
        <f t="shared" si="0"/>
        <v>22</v>
      </c>
      <c r="B37" s="132">
        <v>20241396</v>
      </c>
      <c r="C37" s="133" t="s">
        <v>208</v>
      </c>
      <c r="D37" s="134"/>
      <c r="E37" s="134" t="s">
        <v>206</v>
      </c>
      <c r="F37" s="136"/>
    </row>
    <row r="38" spans="1:6" ht="38" customHeight="1" x14ac:dyDescent="0.35">
      <c r="A38" s="131">
        <f t="shared" si="0"/>
        <v>23</v>
      </c>
      <c r="B38" s="132">
        <v>20251414</v>
      </c>
      <c r="C38" s="133" t="s">
        <v>209</v>
      </c>
      <c r="D38" s="134"/>
      <c r="E38" s="134" t="s">
        <v>206</v>
      </c>
      <c r="F38" s="136"/>
    </row>
    <row r="39" spans="1:6" ht="38" customHeight="1" x14ac:dyDescent="0.35">
      <c r="A39" s="131">
        <f t="shared" si="0"/>
        <v>24</v>
      </c>
      <c r="B39" s="132">
        <v>20251440</v>
      </c>
      <c r="C39" s="133" t="s">
        <v>210</v>
      </c>
      <c r="D39" s="134"/>
      <c r="E39" s="134" t="s">
        <v>206</v>
      </c>
      <c r="F39" s="136"/>
    </row>
    <row r="40" spans="1:6" ht="38" customHeight="1" x14ac:dyDescent="0.35">
      <c r="A40" s="131">
        <f t="shared" si="0"/>
        <v>25</v>
      </c>
      <c r="B40" s="132">
        <v>20140836</v>
      </c>
      <c r="C40" s="133" t="s">
        <v>211</v>
      </c>
      <c r="D40" s="134"/>
      <c r="E40" s="134" t="s">
        <v>212</v>
      </c>
      <c r="F40" s="136"/>
    </row>
    <row r="41" spans="1:6" ht="38" customHeight="1" x14ac:dyDescent="0.35">
      <c r="A41" s="131">
        <f t="shared" si="0"/>
        <v>26</v>
      </c>
      <c r="B41" s="132">
        <v>20140840</v>
      </c>
      <c r="C41" s="133" t="s">
        <v>213</v>
      </c>
      <c r="D41" s="134"/>
      <c r="E41" s="134" t="s">
        <v>212</v>
      </c>
      <c r="F41" s="136"/>
    </row>
    <row r="42" spans="1:6" ht="38" customHeight="1" x14ac:dyDescent="0.35">
      <c r="A42" s="131">
        <f t="shared" si="0"/>
        <v>27</v>
      </c>
      <c r="B42" s="132">
        <v>20171047</v>
      </c>
      <c r="C42" s="133" t="s">
        <v>214</v>
      </c>
      <c r="D42" s="134"/>
      <c r="E42" s="134" t="s">
        <v>212</v>
      </c>
      <c r="F42" s="136"/>
    </row>
    <row r="43" spans="1:6" ht="38" customHeight="1" x14ac:dyDescent="0.35">
      <c r="A43" s="131">
        <f t="shared" si="0"/>
        <v>28</v>
      </c>
      <c r="B43" s="132">
        <v>20211264</v>
      </c>
      <c r="C43" s="133" t="s">
        <v>215</v>
      </c>
      <c r="D43" s="134"/>
      <c r="E43" s="140" t="s">
        <v>212</v>
      </c>
      <c r="F43" s="136"/>
    </row>
    <row r="44" spans="1:6" ht="38" customHeight="1" x14ac:dyDescent="0.35">
      <c r="A44" s="131">
        <f t="shared" si="0"/>
        <v>29</v>
      </c>
      <c r="B44" s="132">
        <v>20221305</v>
      </c>
      <c r="C44" s="133" t="s">
        <v>216</v>
      </c>
      <c r="D44" s="134"/>
      <c r="E44" s="140" t="s">
        <v>212</v>
      </c>
      <c r="F44" s="136"/>
    </row>
    <row r="45" spans="1:6" ht="38" customHeight="1" x14ac:dyDescent="0.35">
      <c r="A45" s="131">
        <f t="shared" si="0"/>
        <v>30</v>
      </c>
      <c r="B45" s="132">
        <v>20231325</v>
      </c>
      <c r="C45" s="133" t="s">
        <v>217</v>
      </c>
      <c r="D45" s="134"/>
      <c r="E45" s="135" t="s">
        <v>212</v>
      </c>
      <c r="F45" s="136"/>
    </row>
    <row r="46" spans="1:6" ht="38" customHeight="1" x14ac:dyDescent="0.35">
      <c r="A46" s="131">
        <f t="shared" si="0"/>
        <v>31</v>
      </c>
      <c r="B46" s="132">
        <v>20241388</v>
      </c>
      <c r="C46" s="133" t="s">
        <v>218</v>
      </c>
      <c r="D46" s="134"/>
      <c r="E46" s="135" t="s">
        <v>212</v>
      </c>
      <c r="F46" s="136"/>
    </row>
    <row r="47" spans="1:6" ht="38" customHeight="1" x14ac:dyDescent="0.35">
      <c r="A47" s="131">
        <f t="shared" si="0"/>
        <v>32</v>
      </c>
      <c r="B47" s="132">
        <v>20241397</v>
      </c>
      <c r="C47" s="133" t="s">
        <v>219</v>
      </c>
      <c r="D47" s="134"/>
      <c r="E47" s="134" t="s">
        <v>212</v>
      </c>
      <c r="F47" s="136"/>
    </row>
    <row r="48" spans="1:6" ht="38" customHeight="1" x14ac:dyDescent="0.35">
      <c r="A48" s="131">
        <f t="shared" si="0"/>
        <v>33</v>
      </c>
      <c r="B48" s="132">
        <v>20251404</v>
      </c>
      <c r="C48" s="133" t="s">
        <v>220</v>
      </c>
      <c r="D48" s="134"/>
      <c r="E48" s="134" t="s">
        <v>212</v>
      </c>
      <c r="F48" s="136"/>
    </row>
    <row r="49" spans="1:6" ht="38" customHeight="1" x14ac:dyDescent="0.35">
      <c r="A49" s="131">
        <f t="shared" si="0"/>
        <v>34</v>
      </c>
      <c r="B49" s="132">
        <v>20251413</v>
      </c>
      <c r="C49" s="133" t="s">
        <v>221</v>
      </c>
      <c r="D49" s="134"/>
      <c r="E49" s="140" t="s">
        <v>212</v>
      </c>
      <c r="F49" s="136"/>
    </row>
    <row r="50" spans="1:6" ht="38" customHeight="1" x14ac:dyDescent="0.35">
      <c r="A50" s="131">
        <f t="shared" si="0"/>
        <v>35</v>
      </c>
      <c r="B50" s="132">
        <v>20251426</v>
      </c>
      <c r="C50" s="133" t="s">
        <v>222</v>
      </c>
      <c r="D50" s="134"/>
      <c r="E50" s="140" t="s">
        <v>212</v>
      </c>
      <c r="F50" s="136"/>
    </row>
    <row r="51" spans="1:6" ht="38" customHeight="1" x14ac:dyDescent="0.35">
      <c r="A51" s="131">
        <f t="shared" si="0"/>
        <v>36</v>
      </c>
      <c r="B51" s="132">
        <v>20251431</v>
      </c>
      <c r="C51" s="133" t="s">
        <v>223</v>
      </c>
      <c r="D51" s="134"/>
      <c r="E51" s="140" t="s">
        <v>212</v>
      </c>
      <c r="F51" s="136"/>
    </row>
    <row r="52" spans="1:6" ht="38" customHeight="1" x14ac:dyDescent="0.35">
      <c r="A52" s="131">
        <f t="shared" si="0"/>
        <v>37</v>
      </c>
      <c r="B52" s="132">
        <v>20251456</v>
      </c>
      <c r="C52" s="133" t="s">
        <v>224</v>
      </c>
      <c r="D52" s="134"/>
      <c r="E52" s="140" t="s">
        <v>212</v>
      </c>
      <c r="F52" s="136"/>
    </row>
    <row r="53" spans="1:6" ht="38" customHeight="1" x14ac:dyDescent="0.35">
      <c r="A53" s="131">
        <f t="shared" si="0"/>
        <v>38</v>
      </c>
      <c r="B53" s="132">
        <v>20261482</v>
      </c>
      <c r="C53" s="133" t="s">
        <v>225</v>
      </c>
      <c r="D53" s="134"/>
      <c r="E53" s="140" t="s">
        <v>212</v>
      </c>
      <c r="F53" s="136"/>
    </row>
    <row r="54" spans="1:6" ht="38" customHeight="1" x14ac:dyDescent="0.35">
      <c r="A54" s="131">
        <f t="shared" si="0"/>
        <v>39</v>
      </c>
      <c r="B54" s="132">
        <v>20261624</v>
      </c>
      <c r="C54" s="133" t="s">
        <v>226</v>
      </c>
      <c r="D54" s="134"/>
      <c r="E54" s="140" t="s">
        <v>212</v>
      </c>
      <c r="F54" s="136"/>
    </row>
    <row r="55" spans="1:6" ht="38" customHeight="1" x14ac:dyDescent="0.35">
      <c r="A55" s="131"/>
      <c r="B55" s="132"/>
      <c r="C55" s="133"/>
      <c r="D55" s="134"/>
      <c r="E55" s="132"/>
      <c r="F55" s="136"/>
    </row>
    <row r="56" spans="1:6" ht="38" customHeight="1" x14ac:dyDescent="0.35">
      <c r="A56" s="131"/>
      <c r="B56" s="132"/>
      <c r="C56" s="133"/>
      <c r="D56" s="134"/>
      <c r="E56" s="140"/>
      <c r="F56" s="136"/>
    </row>
    <row r="57" spans="1:6" ht="38" customHeight="1" x14ac:dyDescent="0.35">
      <c r="A57" s="131"/>
      <c r="B57" s="132"/>
      <c r="C57" s="133"/>
      <c r="D57" s="134"/>
      <c r="E57" s="140"/>
      <c r="F57" s="136"/>
    </row>
    <row r="58" spans="1:6" ht="31" customHeight="1" x14ac:dyDescent="0.35">
      <c r="A58" s="131"/>
      <c r="B58" s="132"/>
      <c r="C58" s="141"/>
      <c r="D58" s="134"/>
      <c r="E58" s="132"/>
      <c r="F58" s="136"/>
    </row>
    <row r="59" spans="1:6" ht="31" customHeight="1" x14ac:dyDescent="0.35">
      <c r="A59" s="131"/>
      <c r="B59" s="132"/>
      <c r="C59" s="141"/>
      <c r="D59" s="134"/>
      <c r="E59" s="132"/>
      <c r="F59" s="136"/>
    </row>
    <row r="60" spans="1:6" ht="31" customHeight="1" x14ac:dyDescent="0.35">
      <c r="A60" s="131"/>
      <c r="B60" s="132"/>
      <c r="C60" s="141"/>
      <c r="D60" s="134"/>
      <c r="E60" s="132"/>
      <c r="F60" s="136"/>
    </row>
    <row r="61" spans="1:6" ht="31" customHeight="1" x14ac:dyDescent="0.35">
      <c r="A61" s="131"/>
      <c r="B61" s="132"/>
      <c r="C61" s="141"/>
      <c r="D61" s="134"/>
      <c r="E61" s="132"/>
      <c r="F61" s="136"/>
    </row>
    <row r="62" spans="1:6" ht="31" customHeight="1" x14ac:dyDescent="0.35">
      <c r="A62" s="131"/>
      <c r="B62" s="132"/>
      <c r="C62" s="141"/>
      <c r="D62" s="134"/>
      <c r="E62" s="132"/>
      <c r="F62" s="136"/>
    </row>
  </sheetData>
  <autoFilter ref="A15:F62" xr:uid="{0FABE8C3-3A9C-4B89-8514-B9CA5CC95BD2}">
    <filterColumn colId="2" showButton="0"/>
    <sortState xmlns:xlrd2="http://schemas.microsoft.com/office/spreadsheetml/2017/richdata2" ref="A16:F62">
      <sortCondition ref="E15:E62"/>
    </sortState>
  </autoFilter>
  <mergeCells count="11">
    <mergeCell ref="A12:B12"/>
    <mergeCell ref="A13:B13"/>
    <mergeCell ref="A14:F14"/>
    <mergeCell ref="C15:D15"/>
    <mergeCell ref="A1:F4"/>
    <mergeCell ref="A5:D5"/>
    <mergeCell ref="A6:B6"/>
    <mergeCell ref="A7:C7"/>
    <mergeCell ref="A8:C8"/>
    <mergeCell ref="E8:E9"/>
    <mergeCell ref="F8:F9"/>
  </mergeCells>
  <conditionalFormatting sqref="B43">
    <cfRule type="duplicateValues" dxfId="4" priority="3"/>
    <cfRule type="duplicateValues" dxfId="3" priority="4"/>
  </conditionalFormatting>
  <conditionalFormatting sqref="B44">
    <cfRule type="duplicateValues" dxfId="2" priority="1"/>
    <cfRule type="duplicateValues" dxfId="1" priority="2"/>
  </conditionalFormatting>
  <conditionalFormatting sqref="B45:B62 B15:B42">
    <cfRule type="duplicateValues" dxfId="0" priority="5"/>
  </conditionalFormatting>
  <printOptions horizontalCentered="1"/>
  <pageMargins left="0.23622047244094488" right="0.23622047244094488" top="0.31496062992125984" bottom="0.31496062992125984" header="0.31496062992125984" footer="0.31496062992125984"/>
  <pageSetup paperSize="9" scale="64" fitToHeight="0" orientation="portrait" horizontalDpi="300" verticalDpi="300" r:id="rId1"/>
  <headerFooter>
    <oddFooter>&amp;C&amp;1#&amp;"Calibri"&amp;10&amp;K0000FFINTERNAL Datalogic Confidential</oddFooter>
  </headerFooter>
  <rowBreaks count="1" manualBreakCount="1">
    <brk id="35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E8B6-268B-4737-B991-89DE8AEF171B}">
  <dimension ref="A1:CZ2"/>
  <sheetViews>
    <sheetView tabSelected="1" topLeftCell="BB1" workbookViewId="0">
      <selection activeCell="BK9" sqref="BK9"/>
    </sheetView>
  </sheetViews>
  <sheetFormatPr defaultRowHeight="14.5" x14ac:dyDescent="0.35"/>
  <cols>
    <col min="8" max="8" width="14.81640625" bestFit="1" customWidth="1"/>
    <col min="11" max="11" width="9.26953125" bestFit="1" customWidth="1"/>
    <col min="15" max="15" width="10.36328125" bestFit="1" customWidth="1"/>
    <col min="16" max="16" width="10.36328125" customWidth="1"/>
    <col min="38" max="38" width="16" bestFit="1" customWidth="1"/>
    <col min="39" max="39" width="25.36328125" bestFit="1" customWidth="1"/>
    <col min="63" max="63" width="11.81640625" bestFit="1" customWidth="1"/>
    <col min="64" max="64" width="8" bestFit="1" customWidth="1"/>
    <col min="65" max="65" width="22.90625" bestFit="1" customWidth="1"/>
    <col min="86" max="86" width="19.36328125" customWidth="1"/>
  </cols>
  <sheetData>
    <row r="1" spans="1:104" ht="61" customHeight="1" x14ac:dyDescent="0.35">
      <c r="A1" s="1" t="s">
        <v>0</v>
      </c>
      <c r="B1" s="2" t="s">
        <v>147</v>
      </c>
      <c r="C1" s="3" t="s">
        <v>1</v>
      </c>
      <c r="D1" s="4" t="s">
        <v>2</v>
      </c>
      <c r="E1" s="4" t="s">
        <v>148</v>
      </c>
      <c r="F1" s="3" t="s">
        <v>3</v>
      </c>
      <c r="G1" s="3" t="s">
        <v>4</v>
      </c>
      <c r="H1" s="3" t="s">
        <v>5</v>
      </c>
      <c r="I1" s="5" t="s">
        <v>6</v>
      </c>
      <c r="J1" s="3" t="s">
        <v>7</v>
      </c>
      <c r="K1" s="3" t="s">
        <v>8</v>
      </c>
      <c r="L1" s="6" t="s">
        <v>9</v>
      </c>
      <c r="M1" s="3" t="s">
        <v>10</v>
      </c>
      <c r="N1" s="3" t="s">
        <v>11</v>
      </c>
      <c r="O1" s="7" t="s">
        <v>12</v>
      </c>
      <c r="P1" s="7" t="s">
        <v>149</v>
      </c>
      <c r="Q1" s="9" t="s">
        <v>13</v>
      </c>
      <c r="R1" s="9" t="s">
        <v>14</v>
      </c>
      <c r="S1" s="8" t="s">
        <v>15</v>
      </c>
      <c r="T1" s="10" t="s">
        <v>16</v>
      </c>
      <c r="U1" s="8" t="s">
        <v>17</v>
      </c>
      <c r="V1" s="11" t="s">
        <v>18</v>
      </c>
      <c r="W1" s="11" t="s">
        <v>19</v>
      </c>
      <c r="X1" s="11" t="s">
        <v>20</v>
      </c>
      <c r="Y1" s="11" t="s">
        <v>21</v>
      </c>
      <c r="Z1" s="11" t="s">
        <v>22</v>
      </c>
      <c r="AA1" s="11" t="s">
        <v>23</v>
      </c>
      <c r="AB1" s="12" t="s">
        <v>24</v>
      </c>
      <c r="AC1" s="13" t="s">
        <v>150</v>
      </c>
      <c r="AD1" s="14" t="s">
        <v>25</v>
      </c>
      <c r="AE1" s="15" t="s">
        <v>26</v>
      </c>
      <c r="AF1" s="13" t="s">
        <v>27</v>
      </c>
      <c r="AG1" s="16" t="s">
        <v>28</v>
      </c>
      <c r="AH1" s="13" t="s">
        <v>29</v>
      </c>
      <c r="AI1" s="16" t="s">
        <v>30</v>
      </c>
      <c r="AJ1" s="13" t="s">
        <v>31</v>
      </c>
      <c r="AK1" s="13" t="s">
        <v>32</v>
      </c>
      <c r="AL1" s="13" t="s">
        <v>33</v>
      </c>
      <c r="AM1" s="13" t="s">
        <v>34</v>
      </c>
      <c r="AN1" s="13" t="s">
        <v>35</v>
      </c>
      <c r="AO1" s="17" t="s">
        <v>36</v>
      </c>
      <c r="AP1" s="17" t="s">
        <v>37</v>
      </c>
      <c r="AQ1" s="13" t="s">
        <v>38</v>
      </c>
      <c r="AR1" s="13" t="s">
        <v>30</v>
      </c>
      <c r="AS1" s="13" t="s">
        <v>39</v>
      </c>
      <c r="AT1" s="13" t="s">
        <v>40</v>
      </c>
      <c r="AU1" s="13" t="s">
        <v>41</v>
      </c>
      <c r="AV1" s="13" t="s">
        <v>42</v>
      </c>
      <c r="AW1" s="13" t="s">
        <v>43</v>
      </c>
      <c r="AX1" s="18" t="s">
        <v>44</v>
      </c>
      <c r="AY1" s="18" t="s">
        <v>45</v>
      </c>
      <c r="AZ1" s="18" t="s">
        <v>46</v>
      </c>
      <c r="BA1" s="18" t="s">
        <v>47</v>
      </c>
      <c r="BB1" s="19" t="s">
        <v>48</v>
      </c>
      <c r="BC1" s="19" t="s">
        <v>49</v>
      </c>
      <c r="BD1" s="19" t="s">
        <v>50</v>
      </c>
      <c r="BE1" s="20" t="s">
        <v>51</v>
      </c>
      <c r="BF1" s="20" t="s">
        <v>52</v>
      </c>
      <c r="BG1" s="21" t="s">
        <v>53</v>
      </c>
      <c r="BH1" s="11" t="s">
        <v>54</v>
      </c>
      <c r="BI1" s="19" t="s">
        <v>55</v>
      </c>
      <c r="BJ1" s="23" t="s">
        <v>56</v>
      </c>
      <c r="BK1" s="24" t="s">
        <v>57</v>
      </c>
      <c r="BL1" s="4" t="s">
        <v>58</v>
      </c>
      <c r="BM1" s="4" t="s">
        <v>59</v>
      </c>
      <c r="BN1" s="25" t="s">
        <v>60</v>
      </c>
      <c r="BO1" s="26" t="s">
        <v>61</v>
      </c>
      <c r="BP1" s="26" t="s">
        <v>62</v>
      </c>
      <c r="BQ1" s="25" t="s">
        <v>63</v>
      </c>
      <c r="BR1" s="27" t="s">
        <v>64</v>
      </c>
      <c r="BS1" s="25" t="s">
        <v>65</v>
      </c>
      <c r="BT1" s="25" t="s">
        <v>66</v>
      </c>
      <c r="BU1" s="26" t="s">
        <v>67</v>
      </c>
      <c r="BV1" s="25" t="s">
        <v>68</v>
      </c>
      <c r="BW1" s="28" t="s">
        <v>69</v>
      </c>
      <c r="BX1" s="22" t="s">
        <v>70</v>
      </c>
      <c r="BY1" s="28" t="s">
        <v>71</v>
      </c>
      <c r="BZ1" s="29" t="s">
        <v>72</v>
      </c>
      <c r="CA1" s="29" t="s">
        <v>73</v>
      </c>
      <c r="CB1" s="30" t="s">
        <v>74</v>
      </c>
      <c r="CC1" s="30" t="s">
        <v>75</v>
      </c>
      <c r="CD1" s="30" t="s">
        <v>76</v>
      </c>
      <c r="CE1" s="31" t="s">
        <v>77</v>
      </c>
      <c r="CF1" s="30" t="s">
        <v>78</v>
      </c>
      <c r="CG1" s="32" t="s">
        <v>79</v>
      </c>
      <c r="CH1" s="30" t="s">
        <v>80</v>
      </c>
      <c r="CI1" s="33" t="s">
        <v>81</v>
      </c>
      <c r="CJ1" s="33" t="s">
        <v>82</v>
      </c>
      <c r="CK1" s="33" t="s">
        <v>83</v>
      </c>
      <c r="CL1" s="33" t="s">
        <v>84</v>
      </c>
      <c r="CM1" s="34" t="s">
        <v>85</v>
      </c>
      <c r="CN1" s="34" t="s">
        <v>86</v>
      </c>
      <c r="CO1" s="34" t="s">
        <v>87</v>
      </c>
      <c r="CP1" s="35" t="s">
        <v>88</v>
      </c>
      <c r="CQ1" s="35"/>
      <c r="CR1" s="35"/>
      <c r="CS1" s="35"/>
      <c r="CT1" s="7" t="s">
        <v>89</v>
      </c>
      <c r="CU1" s="35"/>
      <c r="CV1" s="35"/>
      <c r="CW1" s="35"/>
      <c r="CX1" s="35"/>
      <c r="CY1" s="35"/>
      <c r="CZ1" s="35"/>
    </row>
    <row r="2" spans="1:104" ht="25.5" customHeight="1" x14ac:dyDescent="0.35">
      <c r="A2" s="36" t="s">
        <v>90</v>
      </c>
      <c r="B2" s="37">
        <f t="shared" ref="B2" si="0">ROW()-6</f>
        <v>-4</v>
      </c>
      <c r="C2" s="38">
        <v>20080002</v>
      </c>
      <c r="D2" s="39" t="s">
        <v>91</v>
      </c>
      <c r="E2" s="39" t="s">
        <v>151</v>
      </c>
      <c r="F2" s="40" t="s">
        <v>152</v>
      </c>
      <c r="G2" s="40" t="s">
        <v>153</v>
      </c>
      <c r="H2" s="40" t="s">
        <v>98</v>
      </c>
      <c r="I2" s="41">
        <v>25638</v>
      </c>
      <c r="J2" s="42" t="s">
        <v>92</v>
      </c>
      <c r="K2" s="43" t="s">
        <v>93</v>
      </c>
      <c r="L2" s="44" t="s">
        <v>94</v>
      </c>
      <c r="M2" s="44" t="s">
        <v>95</v>
      </c>
      <c r="N2" s="44" t="s">
        <v>96</v>
      </c>
      <c r="O2" s="45" t="s">
        <v>97</v>
      </c>
      <c r="P2" s="45"/>
      <c r="Q2" s="42" t="s">
        <v>99</v>
      </c>
      <c r="R2" s="42" t="s">
        <v>100</v>
      </c>
      <c r="S2" s="46" t="s">
        <v>101</v>
      </c>
      <c r="T2" s="47">
        <v>39783</v>
      </c>
      <c r="U2" s="46" t="s">
        <v>102</v>
      </c>
      <c r="V2" s="48" t="s">
        <v>96</v>
      </c>
      <c r="W2" s="43" t="s">
        <v>103</v>
      </c>
      <c r="X2" s="48" t="s">
        <v>104</v>
      </c>
      <c r="Y2" s="48" t="s">
        <v>105</v>
      </c>
      <c r="Z2" s="49" t="s">
        <v>106</v>
      </c>
      <c r="AA2" s="48" t="s">
        <v>107</v>
      </c>
      <c r="AB2" s="50"/>
      <c r="AC2" s="51"/>
      <c r="AD2" s="47" t="s">
        <v>108</v>
      </c>
      <c r="AE2" s="52" t="s">
        <v>109</v>
      </c>
      <c r="AF2" s="47" t="s">
        <v>110</v>
      </c>
      <c r="AG2" s="53" t="s">
        <v>111</v>
      </c>
      <c r="AH2" s="37" t="s">
        <v>112</v>
      </c>
      <c r="AI2" s="50">
        <v>44767</v>
      </c>
      <c r="AJ2" s="53" t="s">
        <v>113</v>
      </c>
      <c r="AK2" s="53" t="s">
        <v>114</v>
      </c>
      <c r="AL2" s="54" t="s">
        <v>115</v>
      </c>
      <c r="AM2" s="54" t="s">
        <v>116</v>
      </c>
      <c r="AN2" s="55" t="s">
        <v>117</v>
      </c>
      <c r="AO2" s="56">
        <v>2</v>
      </c>
      <c r="AP2" s="37" t="s">
        <v>118</v>
      </c>
      <c r="AQ2" s="37" t="s">
        <v>119</v>
      </c>
      <c r="AR2" s="37" t="s">
        <v>119</v>
      </c>
      <c r="AS2" s="57" t="s">
        <v>120</v>
      </c>
      <c r="AT2" s="37" t="s">
        <v>121</v>
      </c>
      <c r="AU2" s="37" t="s">
        <v>122</v>
      </c>
      <c r="AV2" s="58" t="s">
        <v>123</v>
      </c>
      <c r="AW2" s="58" t="s">
        <v>123</v>
      </c>
      <c r="AX2" s="37" t="s">
        <v>124</v>
      </c>
      <c r="AY2" s="37">
        <v>2</v>
      </c>
      <c r="AZ2" s="36" t="s">
        <v>125</v>
      </c>
      <c r="BA2" s="37" t="s">
        <v>126</v>
      </c>
      <c r="BB2" s="37" t="s">
        <v>127</v>
      </c>
      <c r="BC2" s="46" t="s">
        <v>128</v>
      </c>
      <c r="BD2" s="37">
        <v>16</v>
      </c>
      <c r="BE2" s="46" t="s">
        <v>129</v>
      </c>
      <c r="BF2" s="46">
        <v>0</v>
      </c>
      <c r="BG2" s="59" t="s">
        <v>130</v>
      </c>
      <c r="BH2" s="43" t="s">
        <v>131</v>
      </c>
      <c r="BI2" s="60"/>
      <c r="BJ2" s="61">
        <v>40</v>
      </c>
      <c r="BK2" s="62" t="s">
        <v>132</v>
      </c>
      <c r="BL2" s="63"/>
      <c r="BM2" s="79" t="s">
        <v>154</v>
      </c>
      <c r="BN2" t="s">
        <v>133</v>
      </c>
      <c r="BO2" s="64">
        <v>39783</v>
      </c>
      <c r="BP2" s="64"/>
      <c r="BQ2" s="37" t="s">
        <v>134</v>
      </c>
      <c r="BR2" s="65"/>
      <c r="BS2" s="63" t="s">
        <v>135</v>
      </c>
      <c r="BT2" s="66"/>
      <c r="BU2" s="64"/>
      <c r="BV2" s="63" t="s">
        <v>136</v>
      </c>
      <c r="BW2" s="67">
        <f t="shared" ref="BW2" ca="1" si="1">(TODAY()-$T2)/365</f>
        <v>17.654794520547945</v>
      </c>
      <c r="BX2" s="68" t="s">
        <v>137</v>
      </c>
      <c r="BY2" s="67">
        <f ca="1">YEAR(NOW())-YEAR(I2)</f>
        <v>56</v>
      </c>
      <c r="BZ2" s="69" t="s">
        <v>138</v>
      </c>
      <c r="CA2" s="69" t="s">
        <v>139</v>
      </c>
      <c r="CB2" s="70">
        <f ca="1">YEAR(NOW())-YEAR(I2)</f>
        <v>56</v>
      </c>
      <c r="CC2" s="71" t="str">
        <f t="shared" ref="CC2" ca="1" si="2">IF(CB2&gt;50,"Over 50",IF(CB2&gt;=41,"41-50",IF(CB2&gt;=31,"31 - 40",IF(CB2&gt;=21,"21 - 30","Under 21"))))</f>
        <v>Over 50</v>
      </c>
      <c r="CD2" s="71" t="str">
        <f ca="1">IF(BW2&gt;5,"5 and more",IF(BW2&gt;3,"3 - 5 years",IF(BW2&gt;=2,"2 - 3 years",IF(BW2&gt;=1,"1- 2 years","less than 1"))))</f>
        <v>5 and more</v>
      </c>
      <c r="CE2" s="72" t="s">
        <v>140</v>
      </c>
      <c r="CF2" s="73" t="s">
        <v>140</v>
      </c>
      <c r="CG2" s="74" t="s">
        <v>141</v>
      </c>
      <c r="CH2" s="75" t="s">
        <v>142</v>
      </c>
      <c r="CI2" s="66" t="s">
        <v>143</v>
      </c>
      <c r="CJ2" s="76" t="s">
        <v>144</v>
      </c>
      <c r="CK2" s="64">
        <v>45600</v>
      </c>
      <c r="CL2" s="63" t="s">
        <v>145</v>
      </c>
      <c r="CM2" s="77">
        <v>39783</v>
      </c>
      <c r="CN2" s="64"/>
      <c r="CO2" s="78"/>
      <c r="CP2" s="35">
        <f>MONTH(I2)</f>
        <v>3</v>
      </c>
      <c r="CQ2" s="77">
        <f t="shared" ref="CQ2" ca="1" si="3">(NOW()-CM2)/365</f>
        <v>17.657253561960932</v>
      </c>
      <c r="CR2" s="35"/>
      <c r="CS2" s="35"/>
      <c r="CT2" s="45" t="s">
        <v>146</v>
      </c>
      <c r="CU2" s="35">
        <f t="shared" ref="CU2" si="4">LEN(AH2)</f>
        <v>12</v>
      </c>
      <c r="CV2" s="35"/>
      <c r="CW2" s="35"/>
      <c r="CX2" s="35"/>
      <c r="CY2" s="35"/>
      <c r="CZ2" s="35"/>
    </row>
  </sheetData>
  <conditionalFormatting sqref="C1:C2">
    <cfRule type="duplicateValues" dxfId="19" priority="4"/>
  </conditionalFormatting>
  <conditionalFormatting sqref="C1:C2">
    <cfRule type="duplicateValues" dxfId="18" priority="3"/>
  </conditionalFormatting>
  <conditionalFormatting sqref="D1:E2">
    <cfRule type="duplicateValues" dxfId="17" priority="6"/>
  </conditionalFormatting>
  <conditionalFormatting sqref="D1:E2">
    <cfRule type="duplicateValues" dxfId="16" priority="7"/>
  </conditionalFormatting>
  <conditionalFormatting sqref="D1:E2">
    <cfRule type="duplicateValues" dxfId="15" priority="8"/>
    <cfRule type="duplicateValues" dxfId="14" priority="9"/>
    <cfRule type="duplicateValues" dxfId="13" priority="10"/>
    <cfRule type="duplicateValues" dxfId="12" priority="11"/>
  </conditionalFormatting>
  <conditionalFormatting sqref="D1:E2">
    <cfRule type="duplicateValues" dxfId="11" priority="14"/>
  </conditionalFormatting>
  <conditionalFormatting sqref="D1:E2">
    <cfRule type="duplicateValues" dxfId="10" priority="15"/>
  </conditionalFormatting>
  <conditionalFormatting sqref="D1:E2">
    <cfRule type="duplicateValues" dxfId="9" priority="16"/>
  </conditionalFormatting>
  <conditionalFormatting sqref="D1:E2">
    <cfRule type="duplicateValues" dxfId="8" priority="17"/>
  </conditionalFormatting>
  <conditionalFormatting sqref="D1:E2">
    <cfRule type="duplicateValues" dxfId="7" priority="18"/>
    <cfRule type="duplicateValues" dxfId="6" priority="19"/>
  </conditionalFormatting>
  <conditionalFormatting sqref="D1:E2">
    <cfRule type="duplicateValues" dxfId="5" priority="12"/>
  </conditionalFormatting>
  <hyperlinks>
    <hyperlink ref="BM2" r:id="rId1" xr:uid="{1F83A497-B3C1-495C-8857-F72244964F33}"/>
  </hyperlinks>
  <pageMargins left="0.7" right="0.7" top="0.75" bottom="0.75" header="0.3" footer="0.3"/>
  <headerFooter>
    <oddFooter>&amp;C_x000D_&amp;1#&amp;"Calibri"&amp;10&amp;K0000FF Datalogic INTERNAL</oddFooter>
  </headerFooter>
  <legacyDrawing r:id="rId2"/>
</worksheet>
</file>

<file path=docMetadata/LabelInfo.xml><?xml version="1.0" encoding="utf-8"?>
<clbl:labelList xmlns:clbl="http://schemas.microsoft.com/office/2020/mipLabelMetadata">
  <clbl:label id="{4dae1a65-cb87-4081-a080-424f2bd6a496}" enabled="1" method="Standard" siteId="{fa92fa5a-de6c-4caf-a2ae-f13cb9d1c40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Training list</vt:lpstr>
      <vt:lpstr>Master file</vt:lpstr>
      <vt:lpstr>'Training list'!Print_Area</vt:lpstr>
      <vt:lpstr>'Training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Nhan</dc:creator>
  <cp:lastModifiedBy>Pham, Nhan</cp:lastModifiedBy>
  <dcterms:created xsi:type="dcterms:W3CDTF">2026-07-24T14:20:05Z</dcterms:created>
  <dcterms:modified xsi:type="dcterms:W3CDTF">2026-07-24T14:33:39Z</dcterms:modified>
</cp:coreProperties>
</file>